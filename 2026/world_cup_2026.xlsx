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<sst xmlns="http://schemas.openxmlformats.org/spreadsheetml/2006/main" count="9786" uniqueCount="3698">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</sst>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1469520</xdr:colOff>
      <xdr:row>13</xdr:row>
      <xdr:rowOff>167400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1463760</xdr:colOff>
      <xdr:row>50</xdr:row>
      <xdr:rowOff>162360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1473840</xdr:colOff>
      <xdr:row>9</xdr:row>
      <xdr:rowOff>166680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1473480</xdr:colOff>
      <xdr:row>24</xdr:row>
      <xdr:rowOff>166680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1473840</xdr:colOff>
      <xdr:row>18</xdr:row>
      <xdr:rowOff>166680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1474200</xdr:colOff>
      <xdr:row>22</xdr:row>
      <xdr:rowOff>169200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223560</xdr:colOff>
      <xdr:row>36</xdr:row>
      <xdr:rowOff>159480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226080</xdr:colOff>
      <xdr:row>35</xdr:row>
      <xdr:rowOff>169200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223560</xdr:colOff>
      <xdr:row>27</xdr:row>
      <xdr:rowOff>169200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1473480</xdr:colOff>
      <xdr:row>15</xdr:row>
      <xdr:rowOff>159840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223560</xdr:colOff>
      <xdr:row>16</xdr:row>
      <xdr:rowOff>150120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1473480</xdr:colOff>
      <xdr:row>19</xdr:row>
      <xdr:rowOff>159840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1473480</xdr:colOff>
      <xdr:row>21</xdr:row>
      <xdr:rowOff>159840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182520</xdr:colOff>
      <xdr:row>13</xdr:row>
      <xdr:rowOff>160200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544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1473480</xdr:colOff>
      <xdr:row>42</xdr:row>
      <xdr:rowOff>160200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225720</xdr:colOff>
      <xdr:row>76</xdr:row>
      <xdr:rowOff>160200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1473480</xdr:colOff>
      <xdr:row>12</xdr:row>
      <xdr:rowOff>160560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210600</xdr:colOff>
      <xdr:row>32</xdr:row>
      <xdr:rowOff>165240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1458360</xdr:colOff>
      <xdr:row>27</xdr:row>
      <xdr:rowOff>159840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160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1468440</xdr:colOff>
      <xdr:row>36</xdr:row>
      <xdr:rowOff>168840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1470600</xdr:colOff>
      <xdr:row>48</xdr:row>
      <xdr:rowOff>169200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220680</xdr:colOff>
      <xdr:row>43</xdr:row>
      <xdr:rowOff>163440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1465200</xdr:colOff>
      <xdr:row>47</xdr:row>
      <xdr:rowOff>164520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1475640</xdr:colOff>
      <xdr:row>11</xdr:row>
      <xdr:rowOff>164520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220680</xdr:colOff>
      <xdr:row>12</xdr:row>
      <xdr:rowOff>154800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1465200</xdr:colOff>
      <xdr:row>73</xdr:row>
      <xdr:rowOff>167040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1470600</xdr:colOff>
      <xdr:row>38</xdr:row>
      <xdr:rowOff>162000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217440</xdr:colOff>
      <xdr:row>41</xdr:row>
      <xdr:rowOff>155160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1464480</xdr:colOff>
      <xdr:row>43</xdr:row>
      <xdr:rowOff>167040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1455480</xdr:colOff>
      <xdr:row>44</xdr:row>
      <xdr:rowOff>167040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1447920</xdr:colOff>
      <xdr:row>31</xdr:row>
      <xdr:rowOff>167400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544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1465920</xdr:colOff>
      <xdr:row>71</xdr:row>
      <xdr:rowOff>167760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1455480</xdr:colOff>
      <xdr:row>28</xdr:row>
      <xdr:rowOff>167760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1475640</xdr:colOff>
      <xdr:row>34</xdr:row>
      <xdr:rowOff>165600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217080</xdr:colOff>
      <xdr:row>57</xdr:row>
      <xdr:rowOff>164160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226440</xdr:colOff>
      <xdr:row>72</xdr:row>
      <xdr:rowOff>153720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223560</xdr:colOff>
      <xdr:row>64</xdr:row>
      <xdr:rowOff>155880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224640</xdr:colOff>
      <xdr:row>75</xdr:row>
      <xdr:rowOff>161640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225720</xdr:colOff>
      <xdr:row>70</xdr:row>
      <xdr:rowOff>165960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224640</xdr:colOff>
      <xdr:row>66</xdr:row>
      <xdr:rowOff>158040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226080</xdr:colOff>
      <xdr:row>65</xdr:row>
      <xdr:rowOff>167760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1469880</xdr:colOff>
      <xdr:row>55</xdr:row>
      <xdr:rowOff>165240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226080</xdr:colOff>
      <xdr:row>51</xdr:row>
      <xdr:rowOff>165960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222120</xdr:colOff>
      <xdr:row>61</xdr:row>
      <xdr:rowOff>163440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1482840</xdr:colOff>
      <xdr:row>62</xdr:row>
      <xdr:rowOff>155520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222120</xdr:colOff>
      <xdr:row>71</xdr:row>
      <xdr:rowOff>164880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222120</xdr:colOff>
      <xdr:row>69</xdr:row>
      <xdr:rowOff>165960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1457640</xdr:colOff>
      <xdr:row>52</xdr:row>
      <xdr:rowOff>166680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212040</xdr:colOff>
      <xdr:row>15</xdr:row>
      <xdr:rowOff>155160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202680</xdr:colOff>
      <xdr:row>39</xdr:row>
      <xdr:rowOff>155160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1459800</xdr:colOff>
      <xdr:row>60</xdr:row>
      <xdr:rowOff>155160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212040</xdr:colOff>
      <xdr:row>6</xdr:row>
      <xdr:rowOff>155160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202680</xdr:colOff>
      <xdr:row>30</xdr:row>
      <xdr:rowOff>155160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1459800</xdr:colOff>
      <xdr:row>59</xdr:row>
      <xdr:rowOff>155160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1460160</xdr:colOff>
      <xdr:row>7</xdr:row>
      <xdr:rowOff>154800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424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1459800</xdr:colOff>
      <xdr:row>6</xdr:row>
      <xdr:rowOff>145440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193320</xdr:colOff>
      <xdr:row>33</xdr:row>
      <xdr:rowOff>145440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424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202680</xdr:colOff>
      <xdr:row>59</xdr:row>
      <xdr:rowOff>145440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424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1459800</xdr:colOff>
      <xdr:row>33</xdr:row>
      <xdr:rowOff>145440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212040</xdr:colOff>
      <xdr:row>58</xdr:row>
      <xdr:rowOff>145440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221760</xdr:colOff>
      <xdr:row>7</xdr:row>
      <xdr:rowOff>154800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1469520</xdr:colOff>
      <xdr:row>30</xdr:row>
      <xdr:rowOff>164520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1459800</xdr:colOff>
      <xdr:row>58</xdr:row>
      <xdr:rowOff>145440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1469520</xdr:colOff>
      <xdr:row>8</xdr:row>
      <xdr:rowOff>155160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1469520</xdr:colOff>
      <xdr:row>32</xdr:row>
      <xdr:rowOff>155160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212040</xdr:colOff>
      <xdr:row>56</xdr:row>
      <xdr:rowOff>155160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221760</xdr:colOff>
      <xdr:row>8</xdr:row>
      <xdr:rowOff>155160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212400</xdr:colOff>
      <xdr:row>31</xdr:row>
      <xdr:rowOff>155160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1469520</xdr:colOff>
      <xdr:row>57</xdr:row>
      <xdr:rowOff>155160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212040</xdr:colOff>
      <xdr:row>9</xdr:row>
      <xdr:rowOff>155160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202680</xdr:colOff>
      <xdr:row>37</xdr:row>
      <xdr:rowOff>155160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1469520</xdr:colOff>
      <xdr:row>65</xdr:row>
      <xdr:rowOff>155160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1469520</xdr:colOff>
      <xdr:row>10</xdr:row>
      <xdr:rowOff>154800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212400</xdr:colOff>
      <xdr:row>34</xdr:row>
      <xdr:rowOff>164520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221760</xdr:colOff>
      <xdr:row>55</xdr:row>
      <xdr:rowOff>164520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221760</xdr:colOff>
      <xdr:row>10</xdr:row>
      <xdr:rowOff>155160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1469520</xdr:colOff>
      <xdr:row>35</xdr:row>
      <xdr:rowOff>155160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1469520</xdr:colOff>
      <xdr:row>54</xdr:row>
      <xdr:rowOff>155160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212040</xdr:colOff>
      <xdr:row>11</xdr:row>
      <xdr:rowOff>155160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1459800</xdr:colOff>
      <xdr:row>37</xdr:row>
      <xdr:rowOff>155160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1469520</xdr:colOff>
      <xdr:row>64</xdr:row>
      <xdr:rowOff>155160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221760</xdr:colOff>
      <xdr:row>54</xdr:row>
      <xdr:rowOff>164520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1450440</xdr:colOff>
      <xdr:row>56</xdr:row>
      <xdr:rowOff>164520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544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1469520</xdr:colOff>
      <xdr:row>14</xdr:row>
      <xdr:rowOff>154800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221760</xdr:colOff>
      <xdr:row>38</xdr:row>
      <xdr:rowOff>164520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221760</xdr:colOff>
      <xdr:row>60</xdr:row>
      <xdr:rowOff>164520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212400</xdr:colOff>
      <xdr:row>14</xdr:row>
      <xdr:rowOff>154800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1469520</xdr:colOff>
      <xdr:row>39</xdr:row>
      <xdr:rowOff>164520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1469520</xdr:colOff>
      <xdr:row>61</xdr:row>
      <xdr:rowOff>164520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1469520</xdr:colOff>
      <xdr:row>16</xdr:row>
      <xdr:rowOff>164520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1469520</xdr:colOff>
      <xdr:row>40</xdr:row>
      <xdr:rowOff>164520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221760</xdr:colOff>
      <xdr:row>63</xdr:row>
      <xdr:rowOff>164520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1469520</xdr:colOff>
      <xdr:row>17</xdr:row>
      <xdr:rowOff>164520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221760</xdr:colOff>
      <xdr:row>40</xdr:row>
      <xdr:rowOff>154800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221760</xdr:colOff>
      <xdr:row>62</xdr:row>
      <xdr:rowOff>154800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221760</xdr:colOff>
      <xdr:row>17</xdr:row>
      <xdr:rowOff>164520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1469520</xdr:colOff>
      <xdr:row>41</xdr:row>
      <xdr:rowOff>164520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1469520</xdr:colOff>
      <xdr:row>63</xdr:row>
      <xdr:rowOff>164520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212400</xdr:colOff>
      <xdr:row>18</xdr:row>
      <xdr:rowOff>155160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212400</xdr:colOff>
      <xdr:row>19</xdr:row>
      <xdr:rowOff>155160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212400</xdr:colOff>
      <xdr:row>42</xdr:row>
      <xdr:rowOff>155160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1469520</xdr:colOff>
      <xdr:row>70</xdr:row>
      <xdr:rowOff>155160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1469520</xdr:colOff>
      <xdr:row>20</xdr:row>
      <xdr:rowOff>155160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212400</xdr:colOff>
      <xdr:row>44</xdr:row>
      <xdr:rowOff>155160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212400</xdr:colOff>
      <xdr:row>68</xdr:row>
      <xdr:rowOff>155160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1469520</xdr:colOff>
      <xdr:row>23</xdr:row>
      <xdr:rowOff>155160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212400</xdr:colOff>
      <xdr:row>47</xdr:row>
      <xdr:rowOff>155160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212400</xdr:colOff>
      <xdr:row>67</xdr:row>
      <xdr:rowOff>155160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1460160</xdr:colOff>
      <xdr:row>45</xdr:row>
      <xdr:rowOff>155160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1469520</xdr:colOff>
      <xdr:row>69</xdr:row>
      <xdr:rowOff>155160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212400</xdr:colOff>
      <xdr:row>20</xdr:row>
      <xdr:rowOff>155160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212400</xdr:colOff>
      <xdr:row>21</xdr:row>
      <xdr:rowOff>164520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212400</xdr:colOff>
      <xdr:row>45</xdr:row>
      <xdr:rowOff>164520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1469520</xdr:colOff>
      <xdr:row>68</xdr:row>
      <xdr:rowOff>164520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212400</xdr:colOff>
      <xdr:row>22</xdr:row>
      <xdr:rowOff>155160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212400</xdr:colOff>
      <xdr:row>46</xdr:row>
      <xdr:rowOff>155160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1469520</xdr:colOff>
      <xdr:row>67</xdr:row>
      <xdr:rowOff>155160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1469520</xdr:colOff>
      <xdr:row>66</xdr:row>
      <xdr:rowOff>164520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1469520</xdr:colOff>
      <xdr:row>46</xdr:row>
      <xdr:rowOff>154800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212400</xdr:colOff>
      <xdr:row>23</xdr:row>
      <xdr:rowOff>164520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202680</xdr:colOff>
      <xdr:row>24</xdr:row>
      <xdr:rowOff>145440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202680</xdr:colOff>
      <xdr:row>49</xdr:row>
      <xdr:rowOff>145440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1459800</xdr:colOff>
      <xdr:row>74</xdr:row>
      <xdr:rowOff>154800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3600" cy="126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1459800</xdr:colOff>
      <xdr:row>25</xdr:row>
      <xdr:rowOff>155160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202680</xdr:colOff>
      <xdr:row>48</xdr:row>
      <xdr:rowOff>155160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202680</xdr:colOff>
      <xdr:row>74</xdr:row>
      <xdr:rowOff>155160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212400</xdr:colOff>
      <xdr:row>25</xdr:row>
      <xdr:rowOff>154800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1460160</xdr:colOff>
      <xdr:row>75</xdr:row>
      <xdr:rowOff>164520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1460160</xdr:colOff>
      <xdr:row>49</xdr:row>
      <xdr:rowOff>164520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202680</xdr:colOff>
      <xdr:row>26</xdr:row>
      <xdr:rowOff>145440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1459800</xdr:colOff>
      <xdr:row>51</xdr:row>
      <xdr:rowOff>155160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1459800</xdr:colOff>
      <xdr:row>72</xdr:row>
      <xdr:rowOff>155160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1469520</xdr:colOff>
      <xdr:row>26</xdr:row>
      <xdr:rowOff>164520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221760</xdr:colOff>
      <xdr:row>50</xdr:row>
      <xdr:rowOff>164520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221760</xdr:colOff>
      <xdr:row>73</xdr:row>
      <xdr:rowOff>164520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202680</xdr:colOff>
      <xdr:row>28</xdr:row>
      <xdr:rowOff>155160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202680</xdr:colOff>
      <xdr:row>53</xdr:row>
      <xdr:rowOff>155160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1459800</xdr:colOff>
      <xdr:row>77</xdr:row>
      <xdr:rowOff>155160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360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221760</xdr:colOff>
      <xdr:row>29</xdr:row>
      <xdr:rowOff>164520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1460160</xdr:colOff>
      <xdr:row>76</xdr:row>
      <xdr:rowOff>164520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1460160</xdr:colOff>
      <xdr:row>53</xdr:row>
      <xdr:rowOff>164520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268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1469520</xdr:colOff>
      <xdr:row>29</xdr:row>
      <xdr:rowOff>164520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212400</xdr:colOff>
      <xdr:row>52</xdr:row>
      <xdr:rowOff>164520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212400</xdr:colOff>
      <xdr:row>77</xdr:row>
      <xdr:rowOff>164520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3320" cy="145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14" colorId="64" zoomScale="124" zoomScaleNormal="124" zoomScalePageLayoutView="100" workbookViewId="0">
      <selection pane="topLeft" activeCell="G55" activeCellId="0" sqref="G5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1</v>
      </c>
      <c r="V11" s="42" t="n">
        <f aca="false">U11*F11</f>
        <v>0</v>
      </c>
      <c r="W11" s="42" t="n">
        <f aca="false">U11*G11</f>
        <v>1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0</v>
      </c>
      <c r="V13" s="42" t="n">
        <f aca="false">U13*F13</f>
        <v>0</v>
      </c>
      <c r="W13" s="42" t="n">
        <f aca="false">U13*G13</f>
        <v>0</v>
      </c>
      <c r="X13" s="42" t="n">
        <f aca="false">IF(S13="",0,IF(VLOOKUP(E13,$AE$8:$AO$77,11,FALSE())=VLOOKUP(H13,$AE$8:$AO$77,11,FALSE()),1,0))</f>
        <v>0</v>
      </c>
      <c r="Y13" s="42" t="n">
        <f aca="false">X13*F13</f>
        <v>0</v>
      </c>
      <c r="Z13" s="42" t="n">
        <f aca="false">X13*G13</f>
        <v>0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5</v>
      </c>
      <c r="AJ20" s="42" t="n">
        <f aca="false">SUMIF($E$7:$E$78,$AE20,$G$7:$G$78) + SUMIF($H$7:$H$78,$AE20,$F$7:$F$78)</f>
        <v>1</v>
      </c>
      <c r="AL20" s="42" t="n">
        <f aca="false">AI20-AJ20</f>
        <v>4</v>
      </c>
      <c r="AM20" s="42" t="n">
        <f aca="false">AL20-AL24</f>
        <v>7</v>
      </c>
      <c r="AN20" s="42" t="n">
        <f aca="false">AF20*3+AG20</f>
        <v>7</v>
      </c>
      <c r="AO20" s="42" t="n">
        <f aca="false">AN20/AN24*10+BA20</f>
        <v>8.75655952771401</v>
      </c>
      <c r="AP20" s="42" t="n">
        <f aca="false">AO20*10000000+BI20*100+AM20/AM24*10+AI20/AI24*1++IF(AQ20=0,ROW(),AQ20)/2000000</f>
        <v>87565604.861354</v>
      </c>
      <c r="AQ20" s="46" t="n">
        <f aca="false">VLOOKUP(AE20,db_fifarank,2,FALSE())</f>
        <v>1761.16</v>
      </c>
      <c r="AR20" s="45" t="n">
        <f aca="false">AP20/AP24</f>
        <v>0.999999988579991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0</v>
      </c>
      <c r="AV20" s="46" t="n">
        <f aca="false" t="array" ref="AV20:AV20">SUMPRODUCT(($E$7:$E$78=AE20)*($U$7:$U$78)*($F$7:$F$78))+SUMPRODUCT(($H$7:$H$78=AE20)*($U$7:$U$78)*($G$7:$G$78))</f>
        <v>0</v>
      </c>
      <c r="AW20" s="46" t="n">
        <f aca="false" t="array" ref="AW20:AW20">SUMPRODUCT(($E$7:$E$78=AE20)*($U$7:$U$78)*($G$7:$G$78))+SUMPRODUCT(($H$7:$H$78=AE20)*($U$7:$U$78)*($F$7:$F$78))</f>
        <v>0</v>
      </c>
      <c r="AX20" s="46" t="n">
        <f aca="false">AV20-AW20</f>
        <v>0</v>
      </c>
      <c r="AY20" s="46" t="n">
        <f aca="false">AX20-MIN(AX20:AX23)</f>
        <v>1</v>
      </c>
      <c r="AZ20" s="46" t="n">
        <f aca="false">AT20/AT24*1000+AU20/AU24*100+AY20/AY24*10+AV20/AV24</f>
        <v>3.33333333333333</v>
      </c>
      <c r="BA20" s="46" t="n">
        <f aca="false">AZ20/AZ24</f>
        <v>0.00655952771400459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0</v>
      </c>
      <c r="BD20" s="46" t="n">
        <f aca="false" t="array" ref="BD20:BD20">SUMPRODUCT(($E$7:$E$78=AE20)*($X$7:$X$78)*($F$7:$F$78))+SUMPRODUCT(($H$7:$H$78=AE20)*($X$7:$X$78)*($G$7:$G$78))</f>
        <v>0</v>
      </c>
      <c r="BE20" s="46" t="n">
        <f aca="false" t="array" ref="BE20:BE20">SUMPRODUCT(($E$7:$E$78=AE20)*($X$7:$X$78)*($G$7:$G$78))+SUMPRODUCT(($H$7:$H$78=AE20)*($X$7:$X$78)*($F$7:$F$78))</f>
        <v>0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0</v>
      </c>
      <c r="BI20" s="46" t="n">
        <f aca="false">BH20/BH24</f>
        <v>0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5 - 1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1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2</v>
      </c>
      <c r="AL21" s="42" t="n">
        <f aca="false">AI21-AJ21</f>
        <v>0</v>
      </c>
      <c r="AM21" s="42" t="n">
        <f aca="false">AL21-AL24</f>
        <v>3</v>
      </c>
      <c r="AN21" s="42" t="n">
        <f aca="false">AF21*3+AG21</f>
        <v>4</v>
      </c>
      <c r="AO21" s="42" t="n">
        <f aca="false">AN21/AN24*10+BA21</f>
        <v>5.006559527714</v>
      </c>
      <c r="AP21" s="42" t="n">
        <f aca="false">AO21*10000000+BI21*100+AM21/AM24*10+AI21/AI24*1++IF(AQ21=0,ROW(),AQ21)/2000000</f>
        <v>50065599.3613513</v>
      </c>
      <c r="AQ21" s="46" t="n">
        <f aca="false">VLOOKUP(AE21,db_fifarank,2,FALSE())</f>
        <v>1755.87</v>
      </c>
      <c r="AR21" s="45" t="n">
        <f aca="false">AP21/AP24</f>
        <v>0.571749591279276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0</v>
      </c>
      <c r="AV21" s="46" t="n">
        <f aca="false" t="array" ref="AV21:AV21">SUMPRODUCT(($E$7:$E$78=AE21)*($U$7:$U$78)*($F$7:$F$78))+SUMPRODUCT(($H$7:$H$78=AE21)*($U$7:$U$78)*($G$7:$G$78))</f>
        <v>0</v>
      </c>
      <c r="AW21" s="46" t="n">
        <f aca="false" t="array" ref="AW21:AW21">SUMPRODUCT(($E$7:$E$78=AE21)*($U$7:$U$78)*($G$7:$G$78))+SUMPRODUCT(($H$7:$H$78=AE21)*($U$7:$U$78)*($F$7:$F$78))</f>
        <v>0</v>
      </c>
      <c r="AX21" s="46" t="n">
        <f aca="false">AV21-AW21</f>
        <v>0</v>
      </c>
      <c r="AY21" s="46" t="n">
        <f aca="false">AX21-MIN(AX20:AX23)</f>
        <v>1</v>
      </c>
      <c r="AZ21" s="46" t="n">
        <f aca="false">AT21/AT24*1000+AU21/AU24*100+AY21/AY24*10+AV21/AV24</f>
        <v>3.33333333333333</v>
      </c>
      <c r="BA21" s="46" t="n">
        <f aca="false">AZ21/AZ24</f>
        <v>0.00655952771400459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0</v>
      </c>
      <c r="BD21" s="46" t="n">
        <f aca="false" t="array" ref="BD21:BD21">SUMPRODUCT(($E$7:$E$78=AE21)*($X$7:$X$78)*($F$7:$F$78))+SUMPRODUCT(($H$7:$H$78=AE21)*($X$7:$X$78)*($G$7:$G$78))</f>
        <v>0</v>
      </c>
      <c r="BE21" s="46" t="n">
        <f aca="false" t="array" ref="BE21:BE21">SUMPRODUCT(($E$7:$E$78=AE21)*($X$7:$X$78)*($G$7:$G$78))+SUMPRODUCT(($H$7:$H$78=AE21)*($X$7:$X$78)*($F$7:$F$78))</f>
        <v>0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0</v>
      </c>
      <c r="BI21" s="46" t="n">
        <f aca="false">BH21/BH24</f>
        <v>0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1</v>
      </c>
      <c r="O22" s="80" t="str">
        <f aca="false">VLOOKUP(2,AD20:AN23,6,FALSE()) &amp; " - " &amp; VLOOKUP(2,AD20:AN23,7,FALSE())</f>
        <v>2 - 2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1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1</v>
      </c>
      <c r="AJ22" s="42" t="n">
        <f aca="false">SUMIF($E$7:$E$78,$AE22,$G$7:$G$78) + SUMIF($H$7:$H$78,$AE22,$F$7:$F$78)</f>
        <v>4</v>
      </c>
      <c r="AL22" s="42" t="n">
        <f aca="false">AI22-AJ22</f>
        <v>-3</v>
      </c>
      <c r="AM22" s="42" t="n">
        <f aca="false">AL22-AL24</f>
        <v>0</v>
      </c>
      <c r="AN22" s="42" t="n">
        <f aca="false">AF22*3+AG22</f>
        <v>3</v>
      </c>
      <c r="AO22" s="42" t="n">
        <f aca="false">AN22/AN24*10+BA22</f>
        <v>3.75</v>
      </c>
      <c r="AP22" s="42" t="n">
        <f aca="false">AO22*10000000+BI22*100+AM22/AM24*10+AI22/AI24*1++IF(AQ22=0,ROW(),AQ22)/2000000</f>
        <v>37500000.1673125</v>
      </c>
      <c r="AQ22" s="46" t="n">
        <f aca="false">VLOOKUP(AE22,db_fifarank,2,FALSE())</f>
        <v>1291.71</v>
      </c>
      <c r="AR22" s="45" t="n">
        <f aca="false">AP22/AP24</f>
        <v>0.428250336401346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1</v>
      </c>
      <c r="AX22" s="46" t="n">
        <f aca="false">AV22-AW22</f>
        <v>-1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1 - 2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2</v>
      </c>
      <c r="AL23" s="42" t="n">
        <f aca="false">AI23-AJ23</f>
        <v>-1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4.7480321416858</v>
      </c>
      <c r="AP23" s="42" t="n">
        <f aca="false">AO23*10000000+BI23*100+AM23/AM24*10+AI23/AI24*1++IF(AQ23=0,ROW(),AQ23)/2000000</f>
        <v>47480324.0842738</v>
      </c>
      <c r="AQ23" s="46" t="n">
        <f aca="false">VLOOKUP(AE23,db_fifarank,2,FALSE())</f>
        <v>1498.35</v>
      </c>
      <c r="AR23" s="45" t="n">
        <f aca="false">AP23/AP24</f>
        <v>0.542225724555041</v>
      </c>
      <c r="AT23" s="46" t="n">
        <f aca="false" t="array" ref="AT23:AT23">SUMPRODUCT(($S$7:$S$78=AE23&amp;"_win")*($U$7:$U$78))+SUMPRODUCT(($T$7:$T$78=AE23&amp;"_win")*($U$7:$U$78))</f>
        <v>1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1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1</v>
      </c>
      <c r="AY23" s="46" t="n">
        <f aca="false">AX23-MIN(AX20:AX23)</f>
        <v>2</v>
      </c>
      <c r="AZ23" s="46" t="n">
        <f aca="false">AT23/AT24*1000+AU23/AU24*100+AY23/AY24*10+AV23/AV24</f>
        <v>507.166666666667</v>
      </c>
      <c r="BA23" s="46" t="n">
        <f aca="false">AZ23/AZ24</f>
        <v>0.998032141685799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1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1 - 4</v>
      </c>
      <c r="P24" s="95" t="n">
        <f aca="false">L24*3+M24</f>
        <v>3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6</v>
      </c>
      <c r="AL24" s="42" t="n">
        <f aca="false">MIN(AL20:AL23)</f>
        <v>-3</v>
      </c>
      <c r="AM24" s="42" t="n">
        <f aca="false">MAX(AM20:AM23)+1</f>
        <v>8</v>
      </c>
      <c r="AN24" s="42" t="n">
        <f aca="false">MAX(AN20:AN23)+1</f>
        <v>8</v>
      </c>
      <c r="AO24" s="42" t="n">
        <f aca="false">MAX(AO20:AO23)+1</f>
        <v>9.75655952771401</v>
      </c>
      <c r="AP24" s="42" t="n">
        <f aca="false">MAX(AP20:AP23)+1</f>
        <v>87565605.861354</v>
      </c>
      <c r="AT24" s="46" t="n">
        <f aca="false">MAX(AT20:AT23)-MIN(AT20:AT23)+1</f>
        <v>2</v>
      </c>
      <c r="AU24" s="46" t="n">
        <f aca="false">MAX(AU20:AU23)-MIN(AU20:AU23)+1</f>
        <v>1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3</v>
      </c>
      <c r="AZ24" s="46" t="n">
        <f aca="false">MAX(AZ20:AZ23)+1</f>
        <v>508.166666666667</v>
      </c>
      <c r="BB24" s="46" t="n">
        <f aca="false">MAX(BB20:BB23)-MIN(BB20:BB23)+1</f>
        <v>1</v>
      </c>
      <c r="BC24" s="46" t="n">
        <f aca="false">MAX(BC20:BC23)-MIN(BC20:BC23)+1</f>
        <v>1</v>
      </c>
      <c r="BD24" s="46" t="n">
        <f aca="false">MAX(BD20:BD23)-MIN(BD20:BD23)+1</f>
        <v>1</v>
      </c>
      <c r="BE24" s="46" t="n">
        <f aca="false">MAX(BE20:BE23)-MIN(BE20:BE23)+1</f>
        <v>1</v>
      </c>
      <c r="BG24" s="46" t="n">
        <f aca="false">MAX(BG20:BG23)-MIN(BG20:BG23)+1</f>
        <v>1</v>
      </c>
      <c r="BH24" s="46" t="n">
        <f aca="false">MAX(BH20:BH23)+1</f>
        <v>1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Brazil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1</v>
      </c>
      <c r="V43" s="42" t="n">
        <f aca="false">U43*F43</f>
        <v>2</v>
      </c>
      <c r="W43" s="42" t="n">
        <f aca="false">U43*G43</f>
        <v>2</v>
      </c>
      <c r="X43" s="42" t="n">
        <f aca="false">IF(S43="",0,IF(VLOOKUP(E43,$AE$8:$AO$77,11,FALSE())=VLOOKUP(H43,$AE$8:$AO$77,11,FALSE()),1,0))</f>
        <v>1</v>
      </c>
      <c r="Y43" s="42" t="n">
        <f aca="false">X43*F43</f>
        <v>2</v>
      </c>
      <c r="Z43" s="42" t="n">
        <f aca="false">X43*G43</f>
        <v>2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2</v>
      </c>
      <c r="AN44" s="42" t="n">
        <f aca="false">AF44*3+AG44</f>
        <v>2</v>
      </c>
      <c r="AO44" s="42" t="n">
        <f aca="false">AN44/AN48*10+BA44</f>
        <v>4.98039215686275</v>
      </c>
      <c r="AP44" s="42" t="n">
        <f aca="false">AO44*10000000+BI44*100+AM44/AM48*10+AI44/AI48*1++IF(AQ44=0,ROW(),AQ44)/2000000</f>
        <v>49804023.8087105</v>
      </c>
      <c r="AQ44" s="46" t="n">
        <f aca="false">VLOOKUP(AE44,db_fifarank,2,FALSE())</f>
        <v>1734.71</v>
      </c>
      <c r="AR44" s="45" t="n">
        <f aca="false">AP44/AP48</f>
        <v>0.622550221340397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</v>
      </c>
      <c r="BA44" s="46" t="n">
        <f aca="false">AZ44/AZ48</f>
        <v>0.980392156862745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</v>
      </c>
      <c r="BI44" s="46" t="n">
        <f aca="false">BH44/BH48</f>
        <v>0.980392156862745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Egypt</v>
      </c>
      <c r="K45" s="76" t="n">
        <f aca="false">L45+M45+N45</f>
        <v>2</v>
      </c>
      <c r="L45" s="76" t="n">
        <f aca="false">VLOOKUP(1,AD44:AN47,3,FALSE())</f>
        <v>1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4 - 2</v>
      </c>
      <c r="P45" s="77" t="n">
        <f aca="false">L45*3+M45</f>
        <v>4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1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1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1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4</v>
      </c>
      <c r="AJ45" s="42" t="n">
        <f aca="false">SUMIF($E$7:$E$78,$AE45,$G$7:$G$78) + SUMIF($H$7:$H$78,$AE45,$F$7:$F$78)</f>
        <v>2</v>
      </c>
      <c r="AL45" s="42" t="n">
        <f aca="false">AI45-AJ45</f>
        <v>2</v>
      </c>
      <c r="AM45" s="42" t="n">
        <f aca="false">AL45-AL48</f>
        <v>4</v>
      </c>
      <c r="AN45" s="42" t="n">
        <f aca="false">AF45*3+AG45</f>
        <v>4</v>
      </c>
      <c r="AO45" s="42" t="n">
        <f aca="false">AN45/AN48*10+BA45</f>
        <v>8</v>
      </c>
      <c r="AP45" s="42" t="n">
        <f aca="false">AO45*10000000+BI45*100+AM45/AM48*10+AI45/AI48*1++IF(AQ45=0,ROW(),AQ45)/2000000</f>
        <v>80000008.8007816</v>
      </c>
      <c r="AQ45" s="46" t="n">
        <f aca="false">VLOOKUP(AE45,db_fifarank,2,FALSE())</f>
        <v>1563.24</v>
      </c>
      <c r="AR45" s="45" t="n">
        <f aca="false">AP45/AP48</f>
        <v>0.999999987500002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Iran</v>
      </c>
      <c r="K46" s="80" t="n">
        <f aca="false">L46+M46+N46</f>
        <v>2</v>
      </c>
      <c r="L46" s="80" t="n">
        <f aca="false">VLOOKUP(2,AD44:AN47,3,FALSE())</f>
        <v>0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2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2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2</v>
      </c>
      <c r="AN46" s="42" t="n">
        <f aca="false">AF46*3+AG46</f>
        <v>2</v>
      </c>
      <c r="AO46" s="42" t="n">
        <f aca="false">AN46/AN48*10+BA46</f>
        <v>4.98039215686275</v>
      </c>
      <c r="AP46" s="42" t="n">
        <f aca="false">AO46*10000000+BI46*100+AM46/AM48*10+AI46/AI48*1++IF(AQ46=0,ROW(),AQ46)/2000000</f>
        <v>49804024.0086508</v>
      </c>
      <c r="AQ46" s="46" t="n">
        <f aca="false">VLOOKUP(AE46,db_fifarank,2,FALSE())</f>
        <v>1615.3</v>
      </c>
      <c r="AR46" s="45" t="n">
        <f aca="false">AP46/AP48</f>
        <v>0.62255022383965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50</v>
      </c>
      <c r="BA46" s="46" t="n">
        <f aca="false">AZ46/AZ48</f>
        <v>0.980392156862745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50</v>
      </c>
      <c r="BI46" s="46" t="n">
        <f aca="false">BH46/BH48</f>
        <v>0.980392156862745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2</v>
      </c>
      <c r="L47" s="80" t="n">
        <f aca="false">VLOOKUP(3,AD44:AN47,3,FALSE())</f>
        <v>0</v>
      </c>
      <c r="M47" s="80" t="n">
        <f aca="false">VLOOKUP(3,AD44:AN47,4,FALSE())</f>
        <v>2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2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1</v>
      </c>
      <c r="AI47" s="42" t="n">
        <f aca="false">SUMIF($E$7:$E$78,$AE47,$F$7:$F$78) + SUMIF($H$7:$H$78,$AE47,$G$7:$G$78)</f>
        <v>3</v>
      </c>
      <c r="AJ47" s="42" t="n">
        <f aca="false">SUMIF($E$7:$E$78,$AE47,$G$7:$G$78) + SUMIF($H$7:$H$78,$AE47,$F$7:$F$78)</f>
        <v>5</v>
      </c>
      <c r="AL47" s="42" t="n">
        <f aca="false">AI47-AJ47</f>
        <v>-2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2</v>
      </c>
      <c r="AP47" s="42" t="n">
        <f aca="false">AO47*10000000+BI47*100+AM47/AM48*10+AI47/AI48*1++IF(AQ47=0,ROW(),AQ47)/2000000</f>
        <v>20000000.6006408</v>
      </c>
      <c r="AQ47" s="46" t="n">
        <f aca="false">VLOOKUP(AE47,db_fifarank,2,FALSE())</f>
        <v>1281.57</v>
      </c>
      <c r="AR47" s="45" t="n">
        <f aca="false">AP47/AP48</f>
        <v>0.24999997688057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2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1</v>
      </c>
      <c r="O48" s="94" t="str">
        <f aca="false">VLOOKUP(4,AD44:AN47,6,FALSE()) &amp; " - " &amp; VLOOKUP(4,AD44:AN47,7,FALSE())</f>
        <v>3 - 5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2</v>
      </c>
      <c r="AH48" s="42" t="n">
        <f aca="false">MAX(AH44:AH47)-MIN(AH44:AH47)+1</f>
        <v>2</v>
      </c>
      <c r="AI48" s="42" t="n">
        <f aca="false">MAX(AI44:AI47)+1</f>
        <v>5</v>
      </c>
      <c r="AL48" s="42" t="n">
        <f aca="false">MIN(AL44:AL47)</f>
        <v>-2</v>
      </c>
      <c r="AM48" s="42" t="n">
        <f aca="false">MAX(AM44:AM47)+1</f>
        <v>5</v>
      </c>
      <c r="AN48" s="42" t="n">
        <f aca="false">MAX(AN44:AN47)+1</f>
        <v>5</v>
      </c>
      <c r="AO48" s="42" t="n">
        <f aca="false">MAX(AO44:AO47)+1</f>
        <v>9</v>
      </c>
      <c r="AP48" s="42" t="n">
        <f aca="false">MAX(AP44:AP47)+1</f>
        <v>80000009.8007816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51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51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1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4</v>
      </c>
      <c r="AJ50" s="42" t="n">
        <f aca="false">SUMIF($E$7:$E$78,$AE50,$G$7:$G$78) + SUMIF($H$7:$H$78,$AE50,$F$7:$F$78)</f>
        <v>0</v>
      </c>
      <c r="AL50" s="42" t="n">
        <f aca="false">AI50-AJ50</f>
        <v>4</v>
      </c>
      <c r="AM50" s="42" t="n">
        <f aca="false">AL50-AL54</f>
        <v>8</v>
      </c>
      <c r="AN50" s="42" t="n">
        <f aca="false">AF50*3+AG50</f>
        <v>4</v>
      </c>
      <c r="AO50" s="42" t="n">
        <f aca="false">AN50/AN54*10+BA50</f>
        <v>8</v>
      </c>
      <c r="AP50" s="42" t="n">
        <f aca="false">AO50*10000000+BI50*100+AM50/AM54*10+AI50/AI54*1++IF(AQ50=0,ROW(),AQ50)/2000000</f>
        <v>80000009.6898271</v>
      </c>
      <c r="AQ50" s="46" t="n">
        <f aca="false">VLOOKUP(AE50,db_fifarank,2,FALSE())</f>
        <v>1876.4</v>
      </c>
      <c r="AR50" s="45" t="n">
        <f aca="false">AP50/AP54</f>
        <v>0.999999987500002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2</v>
      </c>
      <c r="L51" s="76" t="n">
        <f aca="false">VLOOKUP(1,AD50:AN53,3,FALSE())</f>
        <v>1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4 - 0</v>
      </c>
      <c r="P51" s="77" t="n">
        <f aca="false">L51*3+M51</f>
        <v>4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1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1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3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2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2</v>
      </c>
      <c r="AO51" s="42" t="n">
        <f aca="false">AN51/AN54*10+BA51</f>
        <v>4.98064516129032</v>
      </c>
      <c r="AP51" s="42" t="n">
        <f aca="false">AO51*10000000+BI51*100+AM51/AM54*10+AI51/AI54*1++IF(AQ51=0,ROW(),AQ51)/2000000</f>
        <v>49806554.5225469</v>
      </c>
      <c r="AQ51" s="46" t="n">
        <f aca="false">VLOOKUP(AE51,db_fifarank,2,FALSE())</f>
        <v>1366.13</v>
      </c>
      <c r="AR51" s="45" t="n">
        <f aca="false">AP51/AP54</f>
        <v>0.622581848340682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2</v>
      </c>
      <c r="AW51" s="46" t="n">
        <f aca="false" t="array" ref="AW51:AW51">SUMPRODUCT(($E$7:$E$78=AE51)*($U$7:$U$78)*($G$7:$G$78))+SUMPRODUCT(($H$7:$H$78=AE51)*($U$7:$U$78)*($F$7:$F$78))</f>
        <v>2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50.6666666666667</v>
      </c>
      <c r="BA51" s="46" t="n">
        <f aca="false">AZ51/AZ54</f>
        <v>0.980645161290323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2</v>
      </c>
      <c r="BE51" s="46" t="n">
        <f aca="false" t="array" ref="BE51:BE51">SUMPRODUCT(($E$7:$E$78=AE51)*($X$7:$X$78)*($G$7:$G$78))+SUMPRODUCT(($H$7:$H$78=AE51)*($X$7:$X$78)*($F$7:$F$78))</f>
        <v>2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50.6666666666667</v>
      </c>
      <c r="BI51" s="46" t="n">
        <f aca="false">BH51/BH54</f>
        <v>0.980645161290323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Uruguay</v>
      </c>
      <c r="K52" s="80" t="n">
        <f aca="false">L52+M52+N52</f>
        <v>2</v>
      </c>
      <c r="L52" s="80" t="n">
        <f aca="false">VLOOKUP(2,AD50:AN53,3,FALSE())</f>
        <v>0</v>
      </c>
      <c r="M52" s="80" t="n">
        <f aca="false">VLOOKUP(2,AD50:AN53,4,FALSE())</f>
        <v>2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3 - 3</v>
      </c>
      <c r="P52" s="81" t="n">
        <f aca="false">L52*3+M52</f>
        <v>2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2</v>
      </c>
      <c r="AP52" s="42" t="n">
        <f aca="false">AO52*10000000+BI52*100+AM52/AM54*10+AI52/AI54*1++IF(AQ52=0,ROW(),AQ52)/2000000</f>
        <v>20000000.2007107</v>
      </c>
      <c r="AQ52" s="46" t="n">
        <f aca="false">VLOOKUP(AE52,db_fifarank,2,FALSE())</f>
        <v>1421.43</v>
      </c>
      <c r="AR52" s="45" t="n">
        <f aca="false">AP52/AP54</f>
        <v>0.249999969103178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Cape Verde</v>
      </c>
      <c r="K53" s="80" t="n">
        <f aca="false">L53+M53+N53</f>
        <v>2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2 - 2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3</v>
      </c>
      <c r="AL53" s="42" t="n">
        <f aca="false">AI53-AJ53</f>
        <v>0</v>
      </c>
      <c r="AM53" s="42" t="n">
        <f aca="false">AL53-AL54</f>
        <v>4</v>
      </c>
      <c r="AN53" s="42" t="n">
        <f aca="false">AF53*3+AG53</f>
        <v>2</v>
      </c>
      <c r="AO53" s="42" t="n">
        <f aca="false">AN53/AN54*10+BA53</f>
        <v>4.98064516129032</v>
      </c>
      <c r="AP53" s="42" t="n">
        <f aca="false">AO53*10000000+BI53*100+AM53/AM54*10+AI53/AI54*1++IF(AQ53=0,ROW(),AQ53)/2000000</f>
        <v>49806554.7227003</v>
      </c>
      <c r="AQ53" s="46" t="n">
        <f aca="false">VLOOKUP(AE53,db_fifarank,2,FALSE())</f>
        <v>1673.07</v>
      </c>
      <c r="AR53" s="45" t="n">
        <f aca="false">AP53/AP54</f>
        <v>0.6225818508426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2</v>
      </c>
      <c r="AW53" s="46" t="n">
        <f aca="false" t="array" ref="AW53:AW53">SUMPRODUCT(($E$7:$E$78=AE53)*($U$7:$U$78)*($G$7:$G$78))+SUMPRODUCT(($H$7:$H$78=AE53)*($U$7:$U$78)*($F$7:$F$78))</f>
        <v>2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50.6666666666667</v>
      </c>
      <c r="BA53" s="46" t="n">
        <f aca="false">AZ53/AZ54</f>
        <v>0.980645161290323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2</v>
      </c>
      <c r="BE53" s="46" t="n">
        <f aca="false" t="array" ref="BE53:BE53">SUMPRODUCT(($E$7:$E$78=AE53)*($X$7:$X$78)*($G$7:$G$78))+SUMPRODUCT(($H$7:$H$78=AE53)*($X$7:$X$78)*($F$7:$F$78))</f>
        <v>2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50.6666666666667</v>
      </c>
      <c r="BI53" s="46" t="n">
        <f aca="false">BH53/BH54</f>
        <v>0.980645161290323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2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2</v>
      </c>
      <c r="AG54" s="42" t="n">
        <f aca="false">MAX(AG50:AG53)-MIN(AG50:AG53)+1</f>
        <v>2</v>
      </c>
      <c r="AH54" s="42" t="n">
        <f aca="false">MAX(AH50:AH53)-MIN(AH50:AH53)+1</f>
        <v>2</v>
      </c>
      <c r="AI54" s="42" t="n">
        <f aca="false">MAX(AI50:AI53)+1</f>
        <v>5</v>
      </c>
      <c r="AL54" s="42" t="n">
        <f aca="false">MIN(AL50:AL53)</f>
        <v>-4</v>
      </c>
      <c r="AM54" s="42" t="n">
        <f aca="false">MAX(AM50:AM53)+1</f>
        <v>9</v>
      </c>
      <c r="AN54" s="42" t="n">
        <f aca="false">MAX(AN50:AN53)+1</f>
        <v>5</v>
      </c>
      <c r="AO54" s="42" t="n">
        <f aca="false">MAX(AO50:AO53)+1</f>
        <v>9</v>
      </c>
      <c r="AP54" s="42" t="n">
        <f aca="false">MAX(AP50:AP53)+1</f>
        <v>80000010.6898271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3</v>
      </c>
      <c r="AW54" s="46" t="n">
        <f aca="false">MAX(AW50:AW53)-MIN(AW50:AW53)+1</f>
        <v>3</v>
      </c>
      <c r="AY54" s="46" t="n">
        <f aca="false">MAX(AY50:AY53)-MIN(AY50:AY53)+1</f>
        <v>1</v>
      </c>
      <c r="AZ54" s="46" t="n">
        <f aca="false">MAX(AZ50:AZ53)+1</f>
        <v>51.6666666666667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3</v>
      </c>
      <c r="BE54" s="46" t="n">
        <f aca="false">MAX(BE50:BE53)-MIN(BE50:BE53)+1</f>
        <v>3</v>
      </c>
      <c r="BG54" s="46" t="n">
        <f aca="false">MAX(BG50:BG53)-MIN(BG50:BG53)+1</f>
        <v>1</v>
      </c>
      <c r="BH54" s="46" t="n">
        <f aca="false">MAX(BH50:BH53)+1</f>
        <v>51.6666666666667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1</v>
      </c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0</v>
      </c>
      <c r="G56" s="69" t="n">
        <v>1</v>
      </c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Morocco_lose</v>
      </c>
      <c r="T56" s="43" t="str">
        <f aca="false">IF(S56="","",IF(F56&lt;G56,H56&amp;"_win",IF(F56&gt;G56,H56&amp;"_lose",H56&amp;"_draw")))</f>
        <v>Haiti_win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-1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2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6</v>
      </c>
      <c r="AJ56" s="42" t="n">
        <f aca="false">SUMIF($E$7:$E$78,$AE56,$G$7:$G$78) + SUMIF($H$7:$H$78,$AE56,$F$7:$F$78)</f>
        <v>1</v>
      </c>
      <c r="AL56" s="42" t="n">
        <f aca="false">AI56-AJ56</f>
        <v>5</v>
      </c>
      <c r="AM56" s="42" t="n">
        <f aca="false">AL56-AL60</f>
        <v>11</v>
      </c>
      <c r="AN56" s="42" t="n">
        <f aca="false">AF56*3+AG56</f>
        <v>6</v>
      </c>
      <c r="AO56" s="42" t="n">
        <f aca="false">AN56/AN60*10+BA56</f>
        <v>8.57142857142857</v>
      </c>
      <c r="AP56" s="42" t="n">
        <f aca="false">AO56*10000000+BI56*100+AM56/AM60*10+AI56/AI60*1++IF(AQ56=0,ROW(),AQ56)/2000000</f>
        <v>85714295.631891</v>
      </c>
      <c r="AQ56" s="46" t="n">
        <f aca="false">VLOOKUP(AE56,db_fifarank,2,FALSE())</f>
        <v>1877.32</v>
      </c>
      <c r="AR56" s="45" t="n">
        <f aca="false">AP56/AP60</f>
        <v>0.999999988333335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2</v>
      </c>
      <c r="L57" s="76" t="n">
        <f aca="false">VLOOKUP(1,AD56:AN59,3,FALSE())</f>
        <v>2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6 - 1</v>
      </c>
      <c r="P57" s="77" t="n">
        <f aca="false">L57*3+M57</f>
        <v>6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3</v>
      </c>
      <c r="AJ57" s="42" t="n">
        <f aca="false">SUMIF($E$7:$E$78,$AE57,$G$7:$G$78) + SUMIF($H$7:$H$78,$AE57,$F$7:$F$78)</f>
        <v>6</v>
      </c>
      <c r="AL57" s="42" t="n">
        <f aca="false">AI57-AJ57</f>
        <v>-3</v>
      </c>
      <c r="AM57" s="42" t="n">
        <f aca="false">AL57-AL60</f>
        <v>3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2.875844495</v>
      </c>
      <c r="AQ57" s="46" t="n">
        <f aca="false">VLOOKUP(AE57,db_fifarank,2,FALSE())</f>
        <v>1688.99</v>
      </c>
      <c r="AR57" s="45" t="n">
        <f aca="false">AP57/AP60</f>
        <v>3.35515148348077E-008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4"/>
      <c r="J58" s="79" t="str">
        <f aca="false">VLOOKUP(2,AD56:AN59,2,FALSE())</f>
        <v>Norway</v>
      </c>
      <c r="K58" s="80" t="n">
        <f aca="false">L58+M58+N58</f>
        <v>2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7 - 3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2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7</v>
      </c>
      <c r="AL58" s="42" t="n">
        <f aca="false">AI58-AJ58</f>
        <v>-6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0.12572357</v>
      </c>
      <c r="AQ58" s="46" t="n">
        <f aca="false">VLOOKUP(AE58,db_fifarank,2,FALSE())</f>
        <v>1447.14</v>
      </c>
      <c r="AR58" s="45" t="n">
        <f aca="false">AP58/AP60</f>
        <v>1.4667747965072E-009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2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3 - 6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7</v>
      </c>
      <c r="AJ59" s="42" t="n">
        <f aca="false">SUMIF($E$7:$E$78,$AE59,$G$7:$G$78) + SUMIF($H$7:$H$78,$AE59,$F$7:$F$78)</f>
        <v>3</v>
      </c>
      <c r="AL59" s="42" t="n">
        <f aca="false">AI59-AJ59</f>
        <v>4</v>
      </c>
      <c r="AM59" s="42" t="n">
        <f aca="false">AL59-AL60</f>
        <v>10</v>
      </c>
      <c r="AN59" s="42" t="n">
        <f aca="false">AF59*3+AG59</f>
        <v>6</v>
      </c>
      <c r="AO59" s="42" t="n">
        <f aca="false">AN59/AN60*10+BA59</f>
        <v>8.57142857142857</v>
      </c>
      <c r="AP59" s="42" t="n">
        <f aca="false">AO59*10000000+BI59*100+AM59/AM60*10+AI59/AI60*1++IF(AQ59=0,ROW(),AQ59)/2000000</f>
        <v>85714294.9233945</v>
      </c>
      <c r="AQ59" s="46" t="n">
        <f aca="false">VLOOKUP(AE59,db_fifarank,2,FALSE())</f>
        <v>1550.94</v>
      </c>
      <c r="AR59" s="45" t="n">
        <f aca="false">AP59/AP60</f>
        <v>0.999999980067543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98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2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2</v>
      </c>
      <c r="O60" s="94" t="str">
        <f aca="false">VLOOKUP(4,AD56:AN59,6,FALSE()) &amp; " - " &amp; VLOOKUP(4,AD56:AN59,7,FALSE())</f>
        <v>1 - 7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3</v>
      </c>
      <c r="AG60" s="42" t="n">
        <f aca="false">MAX(AG56:AG59)-MIN(AG56:AG59)+1</f>
        <v>1</v>
      </c>
      <c r="AH60" s="42" t="n">
        <f aca="false">MAX(AH56:AH59)-MIN(AH56:AH59)+1</f>
        <v>3</v>
      </c>
      <c r="AI60" s="42" t="n">
        <f aca="false">MAX(AI56:AI59)+1</f>
        <v>8</v>
      </c>
      <c r="AL60" s="42" t="n">
        <f aca="false">MIN(AL56:AL59)</f>
        <v>-6</v>
      </c>
      <c r="AM60" s="42" t="n">
        <f aca="false">MAX(AM56:AM59)+1</f>
        <v>12</v>
      </c>
      <c r="AN60" s="42" t="n">
        <f aca="false">MAX(AN56:AN59)+1</f>
        <v>7</v>
      </c>
      <c r="AO60" s="42" t="n">
        <f aca="false">MAX(AO56:AO59)+1</f>
        <v>9.57142857142857</v>
      </c>
      <c r="AP60" s="42" t="n">
        <f aca="false">MAX(AP56:AP59)+1</f>
        <v>85714296.631891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2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5</v>
      </c>
      <c r="AJ62" s="42" t="n">
        <f aca="false">SUMIF($E$7:$E$78,$AE62,$G$7:$G$78) + SUMIF($H$7:$H$78,$AE62,$F$7:$F$78)</f>
        <v>0</v>
      </c>
      <c r="AL62" s="42" t="n">
        <f aca="false">AI62-AJ62</f>
        <v>5</v>
      </c>
      <c r="AM62" s="42" t="n">
        <f aca="false">AL62-AL66</f>
        <v>8</v>
      </c>
      <c r="AN62" s="42" t="n">
        <f aca="false">AF62*3+AG62</f>
        <v>6</v>
      </c>
      <c r="AO62" s="42" t="n">
        <f aca="false">AN62/AN66*10+BA62</f>
        <v>8.57142857142857</v>
      </c>
      <c r="AP62" s="42" t="n">
        <f aca="false">AO62*10000000+BI62*100+AM62/AM66*10+AI62/AI66*1++IF(AQ62=0,ROW(),AQ62)/2000000</f>
        <v>85714295.4374454</v>
      </c>
      <c r="AQ62" s="46" t="n">
        <f aca="false">VLOOKUP(AE62,db_fifarank,2,FALSE())</f>
        <v>1874.82</v>
      </c>
      <c r="AR62" s="45" t="n">
        <f aca="false">AP62/AP66</f>
        <v>0.999999988333335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2</v>
      </c>
      <c r="L63" s="76" t="n">
        <f aca="false">VLOOKUP(1,AD62:AN65,3,FALSE())</f>
        <v>2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5 - 0</v>
      </c>
      <c r="P63" s="77" t="n">
        <f aca="false">L63*3+M63</f>
        <v>6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2</v>
      </c>
      <c r="AJ63" s="42" t="n">
        <f aca="false">SUMIF($E$7:$E$78,$AE63,$G$7:$G$78) + SUMIF($H$7:$H$78,$AE63,$F$7:$F$78)</f>
        <v>4</v>
      </c>
      <c r="AL63" s="42" t="n">
        <f aca="false">AI63-AJ63</f>
        <v>-2</v>
      </c>
      <c r="AM63" s="42" t="n">
        <f aca="false">AL63-AL66</f>
        <v>1</v>
      </c>
      <c r="AN63" s="42" t="n">
        <f aca="false">AF63*3+AG63</f>
        <v>3</v>
      </c>
      <c r="AO63" s="42" t="n">
        <f aca="false">AN63/AN66*10+BA63</f>
        <v>4.28571428571429</v>
      </c>
      <c r="AP63" s="42" t="n">
        <f aca="false">AO63*10000000+BI63*100+AM63/AM66*10+AI63/AI66*1++IF(AQ63=0,ROW(),AQ63)/2000000</f>
        <v>42857144.3023694</v>
      </c>
      <c r="AQ63" s="46" t="n">
        <f aca="false">VLOOKUP(AE63,db_fifarank,2,FALSE())</f>
        <v>1564.26</v>
      </c>
      <c r="AR63" s="45" t="n">
        <f aca="false">AP63/AP66</f>
        <v>0.499999954309218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2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3 - 3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3</v>
      </c>
      <c r="AL64" s="42" t="n">
        <f aca="false">AI64-AJ64</f>
        <v>0</v>
      </c>
      <c r="AM64" s="42" t="n">
        <f aca="false">AL64-AL66</f>
        <v>3</v>
      </c>
      <c r="AN64" s="42" t="n">
        <f aca="false">AF64*3+AG64</f>
        <v>3</v>
      </c>
      <c r="AO64" s="42" t="n">
        <f aca="false">AN64/AN66*10+BA64</f>
        <v>4.28571428571429</v>
      </c>
      <c r="AP64" s="42" t="n">
        <f aca="false">AO64*10000000+BI64*100+AM64/AM66*10+AI64/AI66*1++IF(AQ64=0,ROW(),AQ64)/2000000</f>
        <v>42857146.6912729</v>
      </c>
      <c r="AQ64" s="46" t="n">
        <f aca="false">VLOOKUP(AE64,db_fifarank,2,FALSE())</f>
        <v>1593.45</v>
      </c>
      <c r="AR64" s="45" t="n">
        <f aca="false">AP64/AP66</f>
        <v>0.499999982179755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Algeria</v>
      </c>
      <c r="K65" s="80" t="n">
        <f aca="false">L65+M65+N65</f>
        <v>2</v>
      </c>
      <c r="L65" s="80" t="n">
        <f aca="false">VLOOKUP(3,AD62:AN65,3,FALSE())</f>
        <v>1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2 - 4</v>
      </c>
      <c r="P65" s="81" t="n">
        <f aca="false">L65*3+M65</f>
        <v>3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2</v>
      </c>
      <c r="AI65" s="42" t="n">
        <f aca="false">SUMIF($E$7:$E$78,$AE65,$F$7:$F$78) + SUMIF($H$7:$H$78,$AE65,$G$7:$G$78)</f>
        <v>2</v>
      </c>
      <c r="AJ65" s="42" t="n">
        <f aca="false">SUMIF($E$7:$E$78,$AE65,$G$7:$G$78) + SUMIF($H$7:$H$78,$AE65,$F$7:$F$78)</f>
        <v>5</v>
      </c>
      <c r="AL65" s="42" t="n">
        <f aca="false">AI65-AJ65</f>
        <v>-3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3.89700519302645E-009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Jordan</v>
      </c>
      <c r="K66" s="94" t="n">
        <f aca="false">L66+M66+N66</f>
        <v>2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2</v>
      </c>
      <c r="O66" s="94" t="str">
        <f aca="false">VLOOKUP(4,AD62:AN65,6,FALSE()) &amp; " - " &amp; VLOOKUP(4,AD62:AN65,7,FALSE())</f>
        <v>2 - 5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3</v>
      </c>
      <c r="AG66" s="42" t="n">
        <f aca="false">MAX(AG62:AG65)-MIN(AG62:AG65)+1</f>
        <v>1</v>
      </c>
      <c r="AH66" s="42" t="n">
        <f aca="false">MAX(AH62:AH65)-MIN(AH62:AH65)+1</f>
        <v>3</v>
      </c>
      <c r="AI66" s="42" t="n">
        <f aca="false">MAX(AI62:AI65)+1</f>
        <v>6</v>
      </c>
      <c r="AL66" s="42" t="n">
        <f aca="false">MIN(AL62:AL65)</f>
        <v>-3</v>
      </c>
      <c r="AM66" s="42" t="n">
        <f aca="false">MAX(AM62:AM65)+1</f>
        <v>9</v>
      </c>
      <c r="AN66" s="42" t="n">
        <f aca="false">MAX(AN62:AN65)+1</f>
        <v>7</v>
      </c>
      <c r="AO66" s="42" t="n">
        <f aca="false">MAX(AO62:AO65)+1</f>
        <v>9.57142857142857</v>
      </c>
      <c r="AP66" s="42" t="n">
        <f aca="false">MAX(AP62:AP65)+1</f>
        <v>85714296.4374454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Switzerland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12</v>
      </c>
      <c r="AN68" s="42" t="n">
        <f aca="false">AF68*3+AG68</f>
        <v>4</v>
      </c>
      <c r="AO68" s="42" t="n">
        <f aca="false">AN68/AN72*10+BA68</f>
        <v>5.71428571428571</v>
      </c>
      <c r="AP68" s="42" t="n">
        <f aca="false">AO68*10000000+BI68*100+AM68/AM72*10+AI68/AI72*1++IF(AQ68=0,ROW(),AQ68)/2000000</f>
        <v>57142867.2316511</v>
      </c>
      <c r="AQ68" s="46" t="n">
        <f aca="false">VLOOKUP(AE68,db_fifarank,2,FALSE())</f>
        <v>1763.83</v>
      </c>
      <c r="AR68" s="45" t="n">
        <f aca="false">AP68/AP72</f>
        <v>0.666666712311392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Colombia</v>
      </c>
      <c r="K69" s="76" t="n">
        <f aca="false">L69+M69+N69</f>
        <v>2</v>
      </c>
      <c r="L69" s="76" t="n">
        <f aca="false">VLOOKUP(1,AD68:AN71,3,FALSE())</f>
        <v>2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6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2</v>
      </c>
      <c r="AL69" s="42" t="n">
        <f aca="false">AI69-AJ69</f>
        <v>-1</v>
      </c>
      <c r="AM69" s="42" t="n">
        <f aca="false">AL69-AL72</f>
        <v>6</v>
      </c>
      <c r="AN69" s="42" t="n">
        <f aca="false">AF69*3+AG69</f>
        <v>1</v>
      </c>
      <c r="AO69" s="42" t="n">
        <f aca="false">AN69/AN72*10+BA69</f>
        <v>1.42857142857143</v>
      </c>
      <c r="AP69" s="42" t="n">
        <f aca="false">AO69*10000000+BI69*100+AM69/AM72*10+AI69/AI72*1++IF(AQ69=0,ROW(),AQ69)/2000000</f>
        <v>14285719.0446952</v>
      </c>
      <c r="AQ69" s="46" t="n">
        <f aca="false">VLOOKUP(AE69,db_fifarank,2,FALSE())</f>
        <v>1478.35</v>
      </c>
      <c r="AR69" s="45" t="n">
        <f aca="false">AP69/AP72</f>
        <v>0.16666670417364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Portugal</v>
      </c>
      <c r="K70" s="80" t="n">
        <f aca="false">L70+M70+N70</f>
        <v>2</v>
      </c>
      <c r="L70" s="80" t="n">
        <f aca="false">VLOOKUP(2,AD68:AN71,3,FALSE())</f>
        <v>1</v>
      </c>
      <c r="M70" s="80" t="n">
        <f aca="false">VLOOKUP(2,AD68:AN71,4,FALSE())</f>
        <v>1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4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2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8</v>
      </c>
      <c r="AL70" s="42" t="n">
        <f aca="false">AI70-AJ70</f>
        <v>-7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0.143589812857143</v>
      </c>
      <c r="AQ70" s="46" t="n">
        <f aca="false">VLOOKUP(AE70,db_fifarank,2,FALSE())</f>
        <v>1465.34</v>
      </c>
      <c r="AR70" s="45" t="n">
        <f aca="false">AP70/AP72</f>
        <v>1.67521430226478E-009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2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1 - 2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10</v>
      </c>
      <c r="AN71" s="42" t="n">
        <f aca="false">AF71*3+AG71</f>
        <v>6</v>
      </c>
      <c r="AO71" s="42" t="n">
        <f aca="false">AN71/AN72*10+BA71</f>
        <v>8.57142857142857</v>
      </c>
      <c r="AP71" s="42" t="n">
        <f aca="false">AO71*10000000+BI71*100+AM71/AM72*10+AI71/AI72*1++IF(AQ71=0,ROW(),AQ71)/2000000</f>
        <v>85714293.9788685</v>
      </c>
      <c r="AQ71" s="46" t="n">
        <f aca="false">VLOOKUP(AE71,db_fifarank,2,FALSE())</f>
        <v>1693.09</v>
      </c>
      <c r="AR71" s="45" t="n">
        <f aca="false">AP71/AP72</f>
        <v>0.999999988333335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2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2</v>
      </c>
      <c r="O72" s="94" t="str">
        <f aca="false">VLOOKUP(4,AD68:AN71,6,FALSE()) &amp; " - " &amp; VLOOKUP(4,AD68:AN71,7,FALSE())</f>
        <v>1 - 8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3</v>
      </c>
      <c r="AG72" s="42" t="n">
        <f aca="false">MAX(AG68:AG71)-MIN(AG68:AG71)+1</f>
        <v>2</v>
      </c>
      <c r="AH72" s="42" t="n">
        <f aca="false">MAX(AH68:AH71)-MIN(AH68:AH71)+1</f>
        <v>3</v>
      </c>
      <c r="AI72" s="42" t="n">
        <f aca="false">MAX(AI68:AI71)+1</f>
        <v>7</v>
      </c>
      <c r="AL72" s="42" t="n">
        <f aca="false">MIN(AL68:AL71)</f>
        <v>-7</v>
      </c>
      <c r="AM72" s="42" t="n">
        <f aca="false">MAX(AM68:AM71)+1</f>
        <v>13</v>
      </c>
      <c r="AN72" s="42" t="n">
        <f aca="false">MAX(AN68:AN71)+1</f>
        <v>7</v>
      </c>
      <c r="AO72" s="42" t="n">
        <f aca="false">MAX(AO68:AO71)+1</f>
        <v>9.57142857142857</v>
      </c>
      <c r="AP72" s="42" t="n">
        <f aca="false">MAX(AP68:AP71)+1</f>
        <v>85714294.9788685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4</v>
      </c>
      <c r="AO74" s="42" t="n">
        <f aca="false">AN74/AN78*10+BA74</f>
        <v>8.98039215686275</v>
      </c>
      <c r="AP74" s="42" t="n">
        <f aca="false">AO74*10000000+BI74*100+AM74/AM78*10+AI74/AI78*1++IF(AQ74=0,ROW(),AQ74)/2000000</f>
        <v>89804028.4087561</v>
      </c>
      <c r="AQ74" s="46" t="n">
        <f aca="false">VLOOKUP(AE74,db_fifarank,2,FALSE())</f>
        <v>1825.97</v>
      </c>
      <c r="AR74" s="45" t="n">
        <f aca="false">AP74/AP78</f>
        <v>0.999999988864642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1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50</v>
      </c>
      <c r="BA74" s="46" t="n">
        <f aca="false">AZ74/AZ78</f>
        <v>0.980392156862745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1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50</v>
      </c>
      <c r="BI74" s="46" t="n">
        <f aca="false">BH74/BH78</f>
        <v>0.980392156862745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2</v>
      </c>
      <c r="L75" s="76" t="n">
        <f aca="false">VLOOKUP(1,AD74:AN77,3,FALSE())</f>
        <v>1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4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3</v>
      </c>
      <c r="AE75" s="44" t="str">
        <f aca="false">VLOOKUP("Croatia",T,lang,FALSE())</f>
        <v>Croatia</v>
      </c>
      <c r="AF75" s="42" t="n">
        <f aca="false">COUNTIF($S$7:$T$78,"=" &amp; AE75 &amp; "_win")</f>
        <v>1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3</v>
      </c>
      <c r="AJ75" s="42" t="n">
        <f aca="false">SUMIF($E$7:$E$78,$AE75,$G$7:$G$78) + SUMIF($H$7:$H$78,$AE75,$F$7:$F$78)</f>
        <v>4</v>
      </c>
      <c r="AL75" s="42" t="n">
        <f aca="false">AI75-AJ75</f>
        <v>-1</v>
      </c>
      <c r="AM75" s="42" t="n">
        <f aca="false">AL75-AL78</f>
        <v>1</v>
      </c>
      <c r="AN75" s="42" t="n">
        <f aca="false">AF75*3+AG75</f>
        <v>3</v>
      </c>
      <c r="AO75" s="42" t="n">
        <f aca="false">AN75/AN78*10+BA75</f>
        <v>6</v>
      </c>
      <c r="AP75" s="42" t="n">
        <f aca="false">AO75*10000000+BI75*100+AM75/AM78*10+AI75/AI78*1++IF(AQ75=0,ROW(),AQ75)/2000000</f>
        <v>60000002.6008585</v>
      </c>
      <c r="AQ75" s="46" t="n">
        <f aca="false">VLOOKUP(AE75,db_fifarank,2,FALSE())</f>
        <v>1717.07</v>
      </c>
      <c r="AR75" s="45" t="n">
        <f aca="false">AP75/AP78</f>
        <v>0.668121497396958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2</v>
      </c>
      <c r="L76" s="80" t="n">
        <f aca="false">VLOOKUP(2,AD74:AN77,3,FALSE())</f>
        <v>1</v>
      </c>
      <c r="M76" s="80" t="n">
        <f aca="false">VLOOKUP(2,AD74:AN77,4,FALSE())</f>
        <v>1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4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4</v>
      </c>
      <c r="AO76" s="42" t="n">
        <f aca="false">AN76/AN78*10+BA76</f>
        <v>8.98039215686275</v>
      </c>
      <c r="AP76" s="42" t="n">
        <f aca="false">AO76*10000000+BI76*100+AM76/AM78*10+AI76/AI78*1++IF(AQ76=0,ROW(),AQ76)/2000000</f>
        <v>89804025.8085163</v>
      </c>
      <c r="AQ76" s="46" t="n">
        <f aca="false">VLOOKUP(AE76,db_fifarank,2,FALSE())</f>
        <v>1346.31</v>
      </c>
      <c r="AR76" s="45" t="n">
        <f aca="false">AP76/AP78</f>
        <v>0.999999959910042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1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50</v>
      </c>
      <c r="BA76" s="46" t="n">
        <f aca="false">AZ76/AZ78</f>
        <v>0.980392156862745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1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50</v>
      </c>
      <c r="BI76" s="46" t="n">
        <f aca="false">BH76/BH78</f>
        <v>0.980392156862745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Croatia</v>
      </c>
      <c r="K77" s="80" t="n">
        <f aca="false">L77+M77+N77</f>
        <v>2</v>
      </c>
      <c r="L77" s="80" t="n">
        <f aca="false">VLOOKUP(3,AD74:AN77,3,FALSE())</f>
        <v>1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3 - 4</v>
      </c>
      <c r="P77" s="81" t="n">
        <f aca="false">L77*3+M77</f>
        <v>3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2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2</v>
      </c>
      <c r="AL77" s="42" t="n">
        <f aca="false">AI77-AJ77</f>
        <v>-2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8.57778882608682E-012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Panama</v>
      </c>
      <c r="K78" s="94" t="n">
        <f aca="false">L78+M78+N78</f>
        <v>2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2</v>
      </c>
      <c r="O78" s="94" t="str">
        <f aca="false">VLOOKUP(4,AD74:AN77,6,FALSE()) &amp; " - " &amp; VLOOKUP(4,AD74:AN77,7,FALSE())</f>
        <v>0 - 2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2</v>
      </c>
      <c r="AH78" s="42" t="n">
        <f aca="false">MAX(AH74:AH77)-MIN(AH74:AH77)+1</f>
        <v>3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5</v>
      </c>
      <c r="AO78" s="42" t="n">
        <f aca="false">MAX(AO74:AO77)+1</f>
        <v>9.98039215686275</v>
      </c>
      <c r="AP78" s="42" t="n">
        <f aca="false">MAX(AP74:AP77)+1</f>
        <v>89804029.4087561</v>
      </c>
      <c r="AT78" s="46" t="n">
        <f aca="false">MAX(AT74:AT77)-MIN(AT74:AT77)+1</f>
        <v>1</v>
      </c>
      <c r="AU78" s="46" t="n">
        <f aca="false">MAX(AU74:AU77)-MIN(AU74:AU77)+1</f>
        <v>2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51</v>
      </c>
      <c r="BB78" s="46" t="n">
        <f aca="false">MAX(BB74:BB77)-MIN(BB74:BB77)+1</f>
        <v>1</v>
      </c>
      <c r="BC78" s="46" t="n">
        <f aca="false">MAX(BC74:BC77)-MIN(BC74:BC77)+1</f>
        <v>2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51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9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2528.57217926143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4" t="str">
        <f aca="false">IF(AD80&lt;=8,AE80,"")</f>
        <v/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Ⓑ Bosnia and Herzegovina</v>
      </c>
      <c r="K81" s="117" t="n">
        <f aca="false">L81+M81+N81</f>
        <v>3</v>
      </c>
      <c r="L81" s="117" t="n">
        <f aca="false">VLOOKUP(1,$AD$80:$AN$91,3,FALSE())</f>
        <v>1</v>
      </c>
      <c r="M81" s="117" t="n">
        <f aca="false">VLOOKUP(1,$AD$80:$AN$91,4,FALSE())</f>
        <v>1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5 - 6</v>
      </c>
      <c r="P81" s="118" t="n">
        <f aca="false">L81*3+M81</f>
        <v>4</v>
      </c>
      <c r="AD81" s="42" t="n">
        <f aca="false">COUNTIF($AP$80:$AP$91,CONCATENATE("&gt;=",AP81))</f>
        <v>1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8571.42926434857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4" t="str">
        <f aca="false">IF(AD81&lt;=8,AE81,"")</f>
        <v>Bosnia and Herzegovina</v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Ⓕ Sweden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6 - 6</v>
      </c>
      <c r="P82" s="121" t="n">
        <f aca="false">L82*3+M82</f>
        <v>3</v>
      </c>
      <c r="AD82" s="42" t="n">
        <f aca="false">COUNTIF($AP$80:$AP$91,CONCATENATE("&gt;=",AP82))</f>
        <v>4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2</v>
      </c>
      <c r="AK82" s="42" t="s">
        <v>3182</v>
      </c>
      <c r="AL82" s="42" t="n">
        <f aca="false">VLOOKUP($AE82,$AE$8:$AQ$78,8,FALSE())</f>
        <v>-1</v>
      </c>
      <c r="AM82" s="42" t="n">
        <f aca="false">AL82-$AL$92</f>
        <v>2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6514.28646346072</v>
      </c>
      <c r="AQ82" s="46" t="n">
        <f aca="false">VLOOKUP($AE82,$AE$8:$AQ$78,13,FALSE())</f>
        <v>1498.35</v>
      </c>
      <c r="AR82" s="45" t="str">
        <f aca="false">AR81&amp;IF(AD82&lt;=8,RIGHT(AK82,1),"")</f>
        <v>BC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Ⓛ Croatia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3 - 4</v>
      </c>
      <c r="P83" s="121" t="n">
        <f aca="false">L83*3+M83</f>
        <v>3</v>
      </c>
      <c r="AD83" s="42" t="n">
        <f aca="false">COUNTIF($AP$80:$AP$91,CONCATENATE("&gt;=",AP83))</f>
        <v>6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6278.57218032143</v>
      </c>
      <c r="AQ83" s="46" t="n">
        <f aca="false">VLOOKUP($AE83,$AE$8:$AQ$78,13,FALSE())</f>
        <v>1503.5</v>
      </c>
      <c r="AR83" s="45" t="str">
        <f aca="false">AR82&amp;IF(AD83&lt;=8,RIGHT(AK83,1),"")</f>
        <v>BCD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Ⓒ Scotland</v>
      </c>
      <c r="K84" s="120" t="n">
        <f aca="false">L84+M84+N84</f>
        <v>3</v>
      </c>
      <c r="L84" s="120" t="n">
        <f aca="false">VLOOKUP(4,$AD$80:$AN$91,3,FALSE())</f>
        <v>1</v>
      </c>
      <c r="M84" s="120" t="n">
        <f aca="false">VLOOKUP(4,$AD$80:$AN$91,4,FALSE())</f>
        <v>0</v>
      </c>
      <c r="N84" s="120" t="n">
        <f aca="false">VLOOKUP(4,$AD$80:$AN$91,5,FALSE())</f>
        <v>2</v>
      </c>
      <c r="O84" s="120" t="str">
        <f aca="false">VLOOKUP(4,$AD$80:$AN$91,6,FALSE()) &amp; " - " &amp; VLOOKUP(4,$AD$80:$AN$91,7,FALSE())</f>
        <v>1 - 2</v>
      </c>
      <c r="P84" s="121" t="n">
        <f aca="false">L84*3+M84</f>
        <v>3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11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2500.00079739</v>
      </c>
      <c r="AQ84" s="46" t="n">
        <f aca="false">VLOOKUP($AE84,$AE$8:$AQ$78,13,FALSE())</f>
        <v>1594.78</v>
      </c>
      <c r="AR84" s="45" t="str">
        <f aca="false">AR83&amp;IF(AD84&lt;=8,RIGHT(AK84,1),"")</f>
        <v>BCD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Ⓙ Algeria</v>
      </c>
      <c r="K85" s="120" t="n">
        <f aca="false">L85+M85+N85</f>
        <v>2</v>
      </c>
      <c r="L85" s="120" t="n">
        <f aca="false">VLOOKUP(5,$AD$80:$AN$91,3,FALSE())</f>
        <v>1</v>
      </c>
      <c r="M85" s="120" t="n">
        <f aca="false">VLOOKUP(5,$AD$80:$AN$91,4,FALSE())</f>
        <v>0</v>
      </c>
      <c r="N85" s="120" t="n">
        <f aca="false">VLOOKUP(5,$AD$80:$AN$91,5,FALSE())</f>
        <v>1</v>
      </c>
      <c r="O85" s="120" t="str">
        <f aca="false">VLOOKUP(5,$AD$80:$AN$91,6,FALSE()) &amp; " - " &amp; VLOOKUP(5,$AD$80:$AN$91,7,FALSE())</f>
        <v>2 - 4</v>
      </c>
      <c r="P85" s="121" t="n">
        <f aca="false">L85*3+M85</f>
        <v>3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6835.71504309929</v>
      </c>
      <c r="AQ85" s="46" t="n">
        <f aca="false">VLOOKUP($AE85,$AE$8:$AQ$78,13,FALSE())</f>
        <v>1514.77</v>
      </c>
      <c r="AR85" s="45" t="str">
        <f aca="false">AR84&amp;IF(AD85&lt;=8,RIGHT(AK85,1),"")</f>
        <v>BCDF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Ⓓ Paraguay</v>
      </c>
      <c r="K86" s="120" t="n">
        <f aca="false">L86+M86+N86</f>
        <v>2</v>
      </c>
      <c r="L86" s="120" t="n">
        <f aca="false">VLOOKUP(6,$AD$80:$AN$91,3,FALSE())</f>
        <v>1</v>
      </c>
      <c r="M86" s="120" t="n">
        <f aca="false">VLOOKUP(6,$AD$80:$AN$91,4,FALSE())</f>
        <v>0</v>
      </c>
      <c r="N86" s="120" t="n">
        <f aca="false">VLOOKUP(6,$AD$80:$AN$91,5,FALSE())</f>
        <v>1</v>
      </c>
      <c r="O86" s="120" t="str">
        <f aca="false">VLOOKUP(6,$AD$80:$AN$91,6,FALSE()) &amp; " - " &amp; VLOOKUP(6,$AD$80:$AN$91,7,FALSE())</f>
        <v>2 - 4</v>
      </c>
      <c r="P86" s="121" t="n">
        <f aca="false">L86*3+M86</f>
        <v>3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8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2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2</v>
      </c>
      <c r="AP86" s="42" t="n">
        <f aca="false">AN86/AN92*10000+AM86/AM92*1000+AI86/AI92*100+IF(AQ86=0,ROW(),AQ86)/2000000</f>
        <v>4764.28658164072</v>
      </c>
      <c r="AQ86" s="46" t="n">
        <f aca="false">VLOOKUP($AE86,$AE$8:$AQ$78,13,FALSE())</f>
        <v>1734.71</v>
      </c>
      <c r="AR86" s="45" t="str">
        <f aca="false">AR85&amp;IF(AD86&lt;=8,RIGHT(AK86,1),"")</f>
        <v>BCDFG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Ⓗ Cape Verde</v>
      </c>
      <c r="K87" s="120" t="n">
        <f aca="false">L87+M87+N87</f>
        <v>2</v>
      </c>
      <c r="L87" s="120" t="n">
        <f aca="false">VLOOKUP(7,$AD$80:$AN$91,3,FALSE())</f>
        <v>0</v>
      </c>
      <c r="M87" s="120" t="n">
        <f aca="false">VLOOKUP(7,$AD$80:$AN$91,4,FALSE())</f>
        <v>2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2 - 2</v>
      </c>
      <c r="P87" s="121" t="n">
        <f aca="false">L87*3+M87</f>
        <v>2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7</v>
      </c>
      <c r="AE87" s="44" t="str">
        <f aca="false">J53</f>
        <v>Cape Verde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0</v>
      </c>
      <c r="AI87" s="42" t="n">
        <f aca="false">VLOOKUP($AE87,$AE$8:$AQ$78,5,FALSE())</f>
        <v>2</v>
      </c>
      <c r="AJ87" s="42" t="n">
        <f aca="false">VLOOKUP($AE87,$AE$8:$AQ$78,6,FALSE())</f>
        <v>2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4778.57211163643</v>
      </c>
      <c r="AQ87" s="46" t="n">
        <f aca="false">VLOOKUP($AE87,$AE$8:$AQ$78,13,FALSE())</f>
        <v>1366.13</v>
      </c>
      <c r="AR87" s="45" t="str">
        <f aca="false">AR86&amp;IF(AD87&lt;=8,RIGHT(AK87,1),"")</f>
        <v>BCDFGH</v>
      </c>
      <c r="AS87" s="114" t="str">
        <f aca="false">IF(AD87&lt;=8,AE87,"")</f>
        <v>Cape Verde</v>
      </c>
      <c r="AT87" s="115" t="str">
        <f aca="false">"Ⓗ "&amp;AE87</f>
        <v>Ⓗ Cape Verde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Ⓖ Belgium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2</v>
      </c>
      <c r="N88" s="120" t="n">
        <f aca="false">VLOOKUP(8,$AD$80:$AN$91,5,FALSE())</f>
        <v>0</v>
      </c>
      <c r="O88" s="120" t="str">
        <f aca="false">VLOOKUP(8,$AD$80:$AN$91,6,FALSE()) &amp; " - " &amp; VLOOKUP(8,$AD$80:$AN$91,7,FALSE())</f>
        <v>1 - 1</v>
      </c>
      <c r="P88" s="121" t="n">
        <f aca="false">L88*3+M88</f>
        <v>2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12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3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-3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42.8579873521429</v>
      </c>
      <c r="AQ88" s="46" t="n">
        <f aca="false">VLOOKUP($AE88,$AE$8:$AQ$78,13,FALSE())</f>
        <v>1688.99</v>
      </c>
      <c r="AR88" s="45" t="str">
        <f aca="false">AR87&amp;IF(AD88&lt;=8,RIGHT(AK88,1),"")</f>
        <v>BCDFGH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Ⓐ Czech Republic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2 - 3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5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2</v>
      </c>
      <c r="AJ89" s="42" t="n">
        <f aca="false">VLOOKUP($AE89,$AE$8:$AQ$78,6,FALSE())</f>
        <v>4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3</v>
      </c>
      <c r="AP89" s="42" t="n">
        <f aca="false">AN89/AN92*10000+AM89/AM92*1000+AI89/AI92*100+IF(AQ89=0,ROW(),AQ89)/2000000</f>
        <v>6278.57221070143</v>
      </c>
      <c r="AQ89" s="46" t="n">
        <f aca="false">VLOOKUP($AE89,$AE$8:$AQ$78,13,FALSE())</f>
        <v>1564.26</v>
      </c>
      <c r="AR89" s="45" t="str">
        <f aca="false">AR88&amp;IF(AD89&lt;=8,RIGHT(AK89,1),"")</f>
        <v>BCDFGHJ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Ⓚ DR Congo</v>
      </c>
      <c r="K90" s="124" t="n">
        <f aca="false">L90+M90+N90</f>
        <v>2</v>
      </c>
      <c r="L90" s="124" t="n">
        <f aca="false">VLOOKUP(10,$AD$80:$AN$91,3,FALSE())</f>
        <v>0</v>
      </c>
      <c r="M90" s="124" t="n">
        <f aca="false">VLOOKUP(10,$AD$80:$AN$91,4,FALSE())</f>
        <v>1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1 - 2</v>
      </c>
      <c r="P90" s="125" t="n">
        <f aca="false">L90*3+M90</f>
        <v>1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10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1</v>
      </c>
      <c r="AJ90" s="42" t="n">
        <f aca="false">VLOOKUP($AE90,$AE$8:$AQ$78,6,FALSE())</f>
        <v>2</v>
      </c>
      <c r="AK90" s="42" t="s">
        <v>3191</v>
      </c>
      <c r="AL90" s="42" t="n">
        <f aca="false">VLOOKUP($AE90,$AE$8:$AQ$78,8,FALSE())</f>
        <v>-1</v>
      </c>
      <c r="AM90" s="42" t="n">
        <f aca="false">AL90-$AL$92</f>
        <v>2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2514.28645346071</v>
      </c>
      <c r="AQ90" s="46" t="n">
        <f aca="false">VLOOKUP($AE90,$AE$8:$AQ$78,13,FALSE())</f>
        <v>1478.35</v>
      </c>
      <c r="AR90" s="45" t="str">
        <f aca="false">AR89&amp;IF(AD90&lt;=8,RIGHT(AK90,1),"")</f>
        <v>BCDFGHJ</v>
      </c>
      <c r="AS90" s="114" t="str">
        <f aca="false">IF(AD90&lt;=8,AE90,"")</f>
        <v/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Ⓔ Ecuador</v>
      </c>
      <c r="K91" s="124" t="n">
        <f aca="false">L91+M91+N91</f>
        <v>2</v>
      </c>
      <c r="L91" s="124" t="n">
        <f aca="false">VLOOKUP(11,$AD$80:$AN$91,3,FALSE())</f>
        <v>0</v>
      </c>
      <c r="M91" s="124" t="n">
        <f aca="false">VLOOKUP(11,$AD$80:$AN$91,4,FALSE())</f>
        <v>1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0 - 1</v>
      </c>
      <c r="P91" s="125" t="n">
        <f aca="false">L91*3+M91</f>
        <v>1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3</v>
      </c>
      <c r="AE91" s="44" t="str">
        <f aca="false">J77</f>
        <v>Croatia</v>
      </c>
      <c r="AF91" s="42" t="n">
        <f aca="false">VLOOKUP($AE91,$AE$8:$AQ$78,2,FALSE())</f>
        <v>1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3</v>
      </c>
      <c r="AJ91" s="42" t="n">
        <f aca="false">VLOOKUP($AE91,$AE$8:$AQ$78,6,FALSE())</f>
        <v>4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3</v>
      </c>
      <c r="AP91" s="42" t="n">
        <f aca="false">AN91/AN92*10000+AM91/AM92*1000+AI91/AI92*100+IF(AQ91=0,ROW(),AQ91)/2000000</f>
        <v>6542.85800139214</v>
      </c>
      <c r="AQ91" s="46" t="n">
        <f aca="false">VLOOKUP($AE91,$AE$8:$AQ$78,13,FALSE())</f>
        <v>1717.07</v>
      </c>
      <c r="AR91" s="45" t="str">
        <f aca="false">AR90&amp;IF(AD91&lt;=8,RIGHT(AK91,1),"")</f>
        <v>BCDFGHJL</v>
      </c>
      <c r="AS91" s="114" t="str">
        <f aca="false">IF(AD91&lt;=8,AE91,"")</f>
        <v>Croatia</v>
      </c>
      <c r="AT91" s="115" t="str">
        <f aca="false">"Ⓛ "&amp;AE91</f>
        <v>Ⓛ Croatia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Ⓘ Senegal</v>
      </c>
      <c r="K92" s="127" t="n">
        <f aca="false">L92+M92+N92</f>
        <v>2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2</v>
      </c>
      <c r="O92" s="127" t="str">
        <f aca="false">VLOOKUP(12,$AD$80:$AN$91,6,FALSE()) &amp; " - " &amp; VLOOKUP(12,$AD$80:$AN$91,7,FALSE())</f>
        <v>3 - 6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3</v>
      </c>
      <c r="AH92" s="42" t="n">
        <f aca="false">MAX(AH80:AH91)+1</f>
        <v>3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5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126</v>
      </c>
      <c r="C3" s="133" t="str">
        <f aca="false">'2026 World Cup'!AR91</f>
        <v>BCDFGHJL</v>
      </c>
      <c r="D3" s="133" t="str">
        <f aca="false">VLOOKUP($C3,$C$6:$K$500,2,FALSE())</f>
        <v>3C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3D</v>
      </c>
      <c r="H3" s="133" t="str">
        <f aca="false">VLOOKUP($C3,$C$6:$K$500,6,FALSE())</f>
        <v>3H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3J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1025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2026-06-24T18:16:34Z</dcterms:modified>
  <cp:revision>39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