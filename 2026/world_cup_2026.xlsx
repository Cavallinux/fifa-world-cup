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<sst xmlns="http://schemas.openxmlformats.org/spreadsheetml/2006/main" count="9786" uniqueCount="3698">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</sst>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1459800</xdr:colOff>
      <xdr:row>13</xdr:row>
      <xdr:rowOff>157680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1454040</xdr:colOff>
      <xdr:row>50</xdr:row>
      <xdr:rowOff>152640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1464120</xdr:colOff>
      <xdr:row>9</xdr:row>
      <xdr:rowOff>156960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1463760</xdr:colOff>
      <xdr:row>24</xdr:row>
      <xdr:rowOff>156960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1464120</xdr:colOff>
      <xdr:row>18</xdr:row>
      <xdr:rowOff>156960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1464480</xdr:colOff>
      <xdr:row>22</xdr:row>
      <xdr:rowOff>159480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213840</xdr:colOff>
      <xdr:row>36</xdr:row>
      <xdr:rowOff>149760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216360</xdr:colOff>
      <xdr:row>35</xdr:row>
      <xdr:rowOff>159480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213840</xdr:colOff>
      <xdr:row>27</xdr:row>
      <xdr:rowOff>159480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1463760</xdr:colOff>
      <xdr:row>15</xdr:row>
      <xdr:rowOff>150120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213840</xdr:colOff>
      <xdr:row>16</xdr:row>
      <xdr:rowOff>140400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1463760</xdr:colOff>
      <xdr:row>19</xdr:row>
      <xdr:rowOff>150120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1463760</xdr:colOff>
      <xdr:row>21</xdr:row>
      <xdr:rowOff>150120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172800</xdr:colOff>
      <xdr:row>13</xdr:row>
      <xdr:rowOff>150480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3572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1463760</xdr:colOff>
      <xdr:row>42</xdr:row>
      <xdr:rowOff>150480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216000</xdr:colOff>
      <xdr:row>76</xdr:row>
      <xdr:rowOff>150480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1463760</xdr:colOff>
      <xdr:row>12</xdr:row>
      <xdr:rowOff>150840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200880</xdr:colOff>
      <xdr:row>32</xdr:row>
      <xdr:rowOff>155520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1448640</xdr:colOff>
      <xdr:row>27</xdr:row>
      <xdr:rowOff>150120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9188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1458720</xdr:colOff>
      <xdr:row>36</xdr:row>
      <xdr:rowOff>159120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1460880</xdr:colOff>
      <xdr:row>48</xdr:row>
      <xdr:rowOff>159480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210960</xdr:colOff>
      <xdr:row>43</xdr:row>
      <xdr:rowOff>153720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1455480</xdr:colOff>
      <xdr:row>47</xdr:row>
      <xdr:rowOff>154800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1465920</xdr:colOff>
      <xdr:row>11</xdr:row>
      <xdr:rowOff>154800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210960</xdr:colOff>
      <xdr:row>12</xdr:row>
      <xdr:rowOff>145080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1455480</xdr:colOff>
      <xdr:row>73</xdr:row>
      <xdr:rowOff>157320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1460880</xdr:colOff>
      <xdr:row>38</xdr:row>
      <xdr:rowOff>152280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207720</xdr:colOff>
      <xdr:row>41</xdr:row>
      <xdr:rowOff>145440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1454760</xdr:colOff>
      <xdr:row>43</xdr:row>
      <xdr:rowOff>157320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1445760</xdr:colOff>
      <xdr:row>44</xdr:row>
      <xdr:rowOff>157320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1438200</xdr:colOff>
      <xdr:row>31</xdr:row>
      <xdr:rowOff>157680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3572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1456200</xdr:colOff>
      <xdr:row>71</xdr:row>
      <xdr:rowOff>158040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1445760</xdr:colOff>
      <xdr:row>28</xdr:row>
      <xdr:rowOff>158040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1465920</xdr:colOff>
      <xdr:row>34</xdr:row>
      <xdr:rowOff>155880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207360</xdr:colOff>
      <xdr:row>57</xdr:row>
      <xdr:rowOff>154440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216720</xdr:colOff>
      <xdr:row>72</xdr:row>
      <xdr:rowOff>144000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213840</xdr:colOff>
      <xdr:row>64</xdr:row>
      <xdr:rowOff>146160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214920</xdr:colOff>
      <xdr:row>75</xdr:row>
      <xdr:rowOff>151920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216000</xdr:colOff>
      <xdr:row>70</xdr:row>
      <xdr:rowOff>156240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214920</xdr:colOff>
      <xdr:row>66</xdr:row>
      <xdr:rowOff>148320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216360</xdr:colOff>
      <xdr:row>65</xdr:row>
      <xdr:rowOff>158040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1460160</xdr:colOff>
      <xdr:row>55</xdr:row>
      <xdr:rowOff>155520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216360</xdr:colOff>
      <xdr:row>51</xdr:row>
      <xdr:rowOff>156240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212400</xdr:colOff>
      <xdr:row>61</xdr:row>
      <xdr:rowOff>153720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1473120</xdr:colOff>
      <xdr:row>62</xdr:row>
      <xdr:rowOff>145800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212400</xdr:colOff>
      <xdr:row>71</xdr:row>
      <xdr:rowOff>155160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212400</xdr:colOff>
      <xdr:row>69</xdr:row>
      <xdr:rowOff>156240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1447920</xdr:colOff>
      <xdr:row>52</xdr:row>
      <xdr:rowOff>156960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202320</xdr:colOff>
      <xdr:row>15</xdr:row>
      <xdr:rowOff>145440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192960</xdr:colOff>
      <xdr:row>39</xdr:row>
      <xdr:rowOff>145440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1450080</xdr:colOff>
      <xdr:row>60</xdr:row>
      <xdr:rowOff>145440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202320</xdr:colOff>
      <xdr:row>6</xdr:row>
      <xdr:rowOff>145440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192960</xdr:colOff>
      <xdr:row>30</xdr:row>
      <xdr:rowOff>145440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1450080</xdr:colOff>
      <xdr:row>59</xdr:row>
      <xdr:rowOff>145440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1450440</xdr:colOff>
      <xdr:row>7</xdr:row>
      <xdr:rowOff>145080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64520" cy="116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1450080</xdr:colOff>
      <xdr:row>6</xdr:row>
      <xdr:rowOff>135720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73880" cy="116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183600</xdr:colOff>
      <xdr:row>33</xdr:row>
      <xdr:rowOff>135720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64520" cy="116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192960</xdr:colOff>
      <xdr:row>59</xdr:row>
      <xdr:rowOff>135720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64520" cy="116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1450080</xdr:colOff>
      <xdr:row>33</xdr:row>
      <xdr:rowOff>135720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73880" cy="116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202320</xdr:colOff>
      <xdr:row>58</xdr:row>
      <xdr:rowOff>135720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73880" cy="116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212040</xdr:colOff>
      <xdr:row>7</xdr:row>
      <xdr:rowOff>145080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1459800</xdr:colOff>
      <xdr:row>30</xdr:row>
      <xdr:rowOff>154800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1450080</xdr:colOff>
      <xdr:row>58</xdr:row>
      <xdr:rowOff>135720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1459800</xdr:colOff>
      <xdr:row>8</xdr:row>
      <xdr:rowOff>145440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1459800</xdr:colOff>
      <xdr:row>32</xdr:row>
      <xdr:rowOff>145440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202320</xdr:colOff>
      <xdr:row>56</xdr:row>
      <xdr:rowOff>145440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212040</xdr:colOff>
      <xdr:row>8</xdr:row>
      <xdr:rowOff>145440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202680</xdr:colOff>
      <xdr:row>31</xdr:row>
      <xdr:rowOff>145440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1459800</xdr:colOff>
      <xdr:row>57</xdr:row>
      <xdr:rowOff>145440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202320</xdr:colOff>
      <xdr:row>9</xdr:row>
      <xdr:rowOff>145440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192960</xdr:colOff>
      <xdr:row>37</xdr:row>
      <xdr:rowOff>145440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1459800</xdr:colOff>
      <xdr:row>65</xdr:row>
      <xdr:rowOff>145440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1459800</xdr:colOff>
      <xdr:row>10</xdr:row>
      <xdr:rowOff>145080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202680</xdr:colOff>
      <xdr:row>34</xdr:row>
      <xdr:rowOff>154800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212040</xdr:colOff>
      <xdr:row>55</xdr:row>
      <xdr:rowOff>154800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212040</xdr:colOff>
      <xdr:row>10</xdr:row>
      <xdr:rowOff>145440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1459800</xdr:colOff>
      <xdr:row>35</xdr:row>
      <xdr:rowOff>145440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1459800</xdr:colOff>
      <xdr:row>54</xdr:row>
      <xdr:rowOff>145440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202320</xdr:colOff>
      <xdr:row>11</xdr:row>
      <xdr:rowOff>145440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1450080</xdr:colOff>
      <xdr:row>37</xdr:row>
      <xdr:rowOff>145440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1459800</xdr:colOff>
      <xdr:row>64</xdr:row>
      <xdr:rowOff>145440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212040</xdr:colOff>
      <xdr:row>54</xdr:row>
      <xdr:rowOff>154800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1440720</xdr:colOff>
      <xdr:row>56</xdr:row>
      <xdr:rowOff>154800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3572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1459800</xdr:colOff>
      <xdr:row>14</xdr:row>
      <xdr:rowOff>145080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212040</xdr:colOff>
      <xdr:row>38</xdr:row>
      <xdr:rowOff>154800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212040</xdr:colOff>
      <xdr:row>60</xdr:row>
      <xdr:rowOff>154800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202680</xdr:colOff>
      <xdr:row>14</xdr:row>
      <xdr:rowOff>145080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1459800</xdr:colOff>
      <xdr:row>39</xdr:row>
      <xdr:rowOff>154800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1459800</xdr:colOff>
      <xdr:row>61</xdr:row>
      <xdr:rowOff>154800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1459800</xdr:colOff>
      <xdr:row>16</xdr:row>
      <xdr:rowOff>154800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1459800</xdr:colOff>
      <xdr:row>40</xdr:row>
      <xdr:rowOff>154800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212040</xdr:colOff>
      <xdr:row>63</xdr:row>
      <xdr:rowOff>154800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1459800</xdr:colOff>
      <xdr:row>17</xdr:row>
      <xdr:rowOff>154800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212040</xdr:colOff>
      <xdr:row>40</xdr:row>
      <xdr:rowOff>145080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212040</xdr:colOff>
      <xdr:row>62</xdr:row>
      <xdr:rowOff>145080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212040</xdr:colOff>
      <xdr:row>17</xdr:row>
      <xdr:rowOff>154800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1459800</xdr:colOff>
      <xdr:row>41</xdr:row>
      <xdr:rowOff>154800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1459800</xdr:colOff>
      <xdr:row>63</xdr:row>
      <xdr:rowOff>154800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202680</xdr:colOff>
      <xdr:row>18</xdr:row>
      <xdr:rowOff>145440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202680</xdr:colOff>
      <xdr:row>19</xdr:row>
      <xdr:rowOff>145440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202680</xdr:colOff>
      <xdr:row>42</xdr:row>
      <xdr:rowOff>145440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1459800</xdr:colOff>
      <xdr:row>70</xdr:row>
      <xdr:rowOff>145440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1459800</xdr:colOff>
      <xdr:row>20</xdr:row>
      <xdr:rowOff>145440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202680</xdr:colOff>
      <xdr:row>44</xdr:row>
      <xdr:rowOff>145440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202680</xdr:colOff>
      <xdr:row>68</xdr:row>
      <xdr:rowOff>145440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1459800</xdr:colOff>
      <xdr:row>23</xdr:row>
      <xdr:rowOff>145440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202680</xdr:colOff>
      <xdr:row>47</xdr:row>
      <xdr:rowOff>145440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202680</xdr:colOff>
      <xdr:row>67</xdr:row>
      <xdr:rowOff>145440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1450440</xdr:colOff>
      <xdr:row>45</xdr:row>
      <xdr:rowOff>145440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1459800</xdr:colOff>
      <xdr:row>69</xdr:row>
      <xdr:rowOff>145440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202680</xdr:colOff>
      <xdr:row>20</xdr:row>
      <xdr:rowOff>145440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202680</xdr:colOff>
      <xdr:row>21</xdr:row>
      <xdr:rowOff>154800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202680</xdr:colOff>
      <xdr:row>45</xdr:row>
      <xdr:rowOff>154800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1459800</xdr:colOff>
      <xdr:row>68</xdr:row>
      <xdr:rowOff>154800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202680</xdr:colOff>
      <xdr:row>22</xdr:row>
      <xdr:rowOff>145440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202680</xdr:colOff>
      <xdr:row>46</xdr:row>
      <xdr:rowOff>145440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1459800</xdr:colOff>
      <xdr:row>67</xdr:row>
      <xdr:rowOff>145440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1459800</xdr:colOff>
      <xdr:row>66</xdr:row>
      <xdr:rowOff>154800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1459800</xdr:colOff>
      <xdr:row>46</xdr:row>
      <xdr:rowOff>145080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202680</xdr:colOff>
      <xdr:row>23</xdr:row>
      <xdr:rowOff>154800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192960</xdr:colOff>
      <xdr:row>24</xdr:row>
      <xdr:rowOff>135720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73880" cy="116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192960</xdr:colOff>
      <xdr:row>49</xdr:row>
      <xdr:rowOff>135720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73880" cy="116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1450080</xdr:colOff>
      <xdr:row>74</xdr:row>
      <xdr:rowOff>145080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73880" cy="116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1450080</xdr:colOff>
      <xdr:row>25</xdr:row>
      <xdr:rowOff>145440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192960</xdr:colOff>
      <xdr:row>48</xdr:row>
      <xdr:rowOff>145440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192960</xdr:colOff>
      <xdr:row>74</xdr:row>
      <xdr:rowOff>145440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202680</xdr:colOff>
      <xdr:row>25</xdr:row>
      <xdr:rowOff>145080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1450440</xdr:colOff>
      <xdr:row>75</xdr:row>
      <xdr:rowOff>154800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1450440</xdr:colOff>
      <xdr:row>49</xdr:row>
      <xdr:rowOff>154800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192960</xdr:colOff>
      <xdr:row>26</xdr:row>
      <xdr:rowOff>135720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1450080</xdr:colOff>
      <xdr:row>51</xdr:row>
      <xdr:rowOff>145440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1450080</xdr:colOff>
      <xdr:row>72</xdr:row>
      <xdr:rowOff>145440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1459800</xdr:colOff>
      <xdr:row>26</xdr:row>
      <xdr:rowOff>154800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212040</xdr:colOff>
      <xdr:row>50</xdr:row>
      <xdr:rowOff>154800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212040</xdr:colOff>
      <xdr:row>73</xdr:row>
      <xdr:rowOff>154800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192960</xdr:colOff>
      <xdr:row>28</xdr:row>
      <xdr:rowOff>145440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192960</xdr:colOff>
      <xdr:row>53</xdr:row>
      <xdr:rowOff>145440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1450080</xdr:colOff>
      <xdr:row>77</xdr:row>
      <xdr:rowOff>145440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7388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212040</xdr:colOff>
      <xdr:row>29</xdr:row>
      <xdr:rowOff>154800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1450440</xdr:colOff>
      <xdr:row>76</xdr:row>
      <xdr:rowOff>154800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1450440</xdr:colOff>
      <xdr:row>53</xdr:row>
      <xdr:rowOff>154800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296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1459800</xdr:colOff>
      <xdr:row>29</xdr:row>
      <xdr:rowOff>154800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202680</xdr:colOff>
      <xdr:row>52</xdr:row>
      <xdr:rowOff>154800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202680</xdr:colOff>
      <xdr:row>77</xdr:row>
      <xdr:rowOff>154800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83600" cy="135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BK14" colorId="64" zoomScale="124" zoomScaleNormal="124" zoomScalePageLayoutView="100" workbookViewId="0">
      <selection pane="topLeft" activeCell="CF31" activeCellId="0" sqref="CF3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 t="n">
        <v>0</v>
      </c>
      <c r="BU12" s="85"/>
      <c r="BV12" s="86"/>
      <c r="BW12" s="47" t="n">
        <f aca="false">IF(OR(BT12="",BT13="",AND(BU12="",BU13&lt;&gt;""),AND(BU13="",BU12&lt;&gt;""),AND(BV12="",BV13&lt;&gt;""),AND(BV13="",BV12&lt;&gt;"")),"",BT12*1000+BU12*10+BV12)</f>
        <v>0</v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>France</v>
      </c>
      <c r="BT13" s="88" t="n">
        <v>1</v>
      </c>
      <c r="BU13" s="89"/>
      <c r="BV13" s="90"/>
      <c r="BW13" s="91" t="n">
        <f aca="false">IF(BW12="","",BT13*1000+BU13*10+BV13)</f>
        <v>1000</v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 t="n">
        <v>3</v>
      </c>
      <c r="BN14" s="85"/>
      <c r="BO14" s="86"/>
      <c r="BP14" s="98" t="n">
        <f aca="false">IF(OR(BM14="",BM15="",AND(BN14="",BN15&lt;&gt;""),AND(BN15="",BN14&lt;&gt;""),AND(BO14="",BO15&lt;&gt;""),AND(BO15="",BO14&lt;&gt;"")),"",BM14*1000+BN14*10+BO14)</f>
        <v>3000</v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 t="n">
        <v>0</v>
      </c>
      <c r="BN15" s="89"/>
      <c r="BO15" s="90"/>
      <c r="BP15" s="47" t="n">
        <f aca="false">IF(BP14="","",BM15*1000+BN15*10+BO15)</f>
        <v>0</v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>France</v>
      </c>
      <c r="CA16" s="84" t="n">
        <v>2</v>
      </c>
      <c r="CB16" s="85"/>
      <c r="CC16" s="86"/>
      <c r="CD16" s="47" t="n">
        <f aca="false">IF(OR(CA16="",CA17="",AND(CB16="",CB17&lt;&gt;""),AND(CB17="",CB16&lt;&gt;""),AND(CC16="",CC17&lt;&gt;""),AND(CC17="",CC16&lt;&gt;"")),"",CA16*1000+CB16*10+CC16)</f>
        <v>2000</v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>Morocco</v>
      </c>
      <c r="CA17" s="88" t="n">
        <v>0</v>
      </c>
      <c r="CB17" s="89"/>
      <c r="CC17" s="90"/>
      <c r="CD17" s="91" t="n">
        <f aca="false">IF(CD16="","",CA17*1000+CB17*10+CC17)</f>
        <v>0</v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 t="n">
        <v>0</v>
      </c>
      <c r="BU20" s="85"/>
      <c r="BV20" s="86"/>
      <c r="BW20" s="98" t="n">
        <f aca="false">IF(OR(BT20="",BT21="",AND(BU20="",BU21&lt;&gt;""),AND(BU21="",BU20&lt;&gt;""),AND(BV20="",BV21&lt;&gt;""),AND(BV21="",BV20&lt;&gt;"")),"",BT20*1000+BU20*10+BV20)</f>
        <v>0</v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 t="n">
        <v>3</v>
      </c>
      <c r="BU21" s="89"/>
      <c r="BV21" s="90"/>
      <c r="BW21" s="47" t="n">
        <f aca="false">IF(BW20="","",BT21*1000+BU21*10+BV21)</f>
        <v>3000</v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>France</v>
      </c>
      <c r="CH23" s="84" t="n">
        <v>0</v>
      </c>
      <c r="CI23" s="85"/>
      <c r="CJ23" s="86"/>
      <c r="CK23" s="47" t="n">
        <f aca="false">IF(OR(CH23="",CH24="",AND(CI23="",CI24&lt;&gt;""),AND(CI24="",CI23&lt;&gt;""),AND(CJ23="",CJ24&lt;&gt;""),AND(CJ24="",CJ23&lt;&gt;"")),"",CH23*1000+CI23*10+CJ23)</f>
        <v>0</v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>Spain</v>
      </c>
      <c r="CH24" s="88" t="n">
        <v>2</v>
      </c>
      <c r="CI24" s="89"/>
      <c r="CJ24" s="90"/>
      <c r="CK24" s="91" t="n">
        <f aca="false">IF(CK23="","",CH24*1000+CI24*10+CJ24)</f>
        <v>2000</v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 t="n">
        <v>2</v>
      </c>
      <c r="BN26" s="85"/>
      <c r="BO26" s="86"/>
      <c r="BP26" s="47" t="n">
        <f aca="false">IF(OR(BM26="",BM27="",AND(BN26="",BN27&lt;&gt;""),AND(BN27="",BN26&lt;&gt;""),AND(BO26="",BO27&lt;&gt;""),AND(BO27="",BO26&lt;&gt;"")),"",BM26*1000+BN26*10+BO26)</f>
        <v>2000</v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 t="n">
        <v>1</v>
      </c>
      <c r="BN27" s="89"/>
      <c r="BO27" s="90"/>
      <c r="BP27" s="91" t="n">
        <f aca="false">IF(BP26="","",BM27*1000+BN27*10+BO27)</f>
        <v>1000</v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>Portugal</v>
      </c>
      <c r="BT28" s="84" t="n">
        <v>0</v>
      </c>
      <c r="BU28" s="85"/>
      <c r="BV28" s="86"/>
      <c r="BW28" s="47" t="n">
        <f aca="false">IF(OR(BT28="",BT29="",AND(BU28="",BU29&lt;&gt;""),AND(BU29="",BU28&lt;&gt;""),AND(BV28="",BV29&lt;&gt;""),AND(BV29="",BV28&lt;&gt;"")),"",BT28*1000+BU28*10+BV28)</f>
        <v>0</v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>Spain</v>
      </c>
      <c r="BT29" s="88" t="n">
        <v>1</v>
      </c>
      <c r="BU29" s="89"/>
      <c r="BV29" s="90"/>
      <c r="BW29" s="91" t="n">
        <f aca="false">IF(BW28="","",BT29*1000+BU29*10+BV29)</f>
        <v>1000</v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 t="n">
        <v>3</v>
      </c>
      <c r="BN30" s="85"/>
      <c r="BO30" s="86"/>
      <c r="BP30" s="98" t="n">
        <f aca="false">IF(OR(BM30="",BM31="",AND(BN30="",BN31&lt;&gt;""),AND(BN31="",BN30&lt;&gt;""),AND(BO30="",BO31&lt;&gt;""),AND(BO31="",BO30&lt;&gt;"")),"",BM30*1000+BN30*10+BO30)</f>
        <v>3000</v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 t="n">
        <v>0</v>
      </c>
      <c r="BN31" s="89"/>
      <c r="BO31" s="90"/>
      <c r="BP31" s="47" t="n">
        <f aca="false">IF(BP30="","",BM31*1000+BN31*10+BO31)</f>
        <v>0</v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>Spain</v>
      </c>
      <c r="CA32" s="84" t="n">
        <v>2</v>
      </c>
      <c r="CB32" s="85"/>
      <c r="CC32" s="86"/>
      <c r="CD32" s="98" t="n">
        <f aca="false">IF(OR(CA32="",CA33="",AND(CB32="",CB33&lt;&gt;""),AND(CB33="",CB32&lt;&gt;""),AND(CC32="",CC33&lt;&gt;""),AND(CC33="",CC32&lt;&gt;"")),"",CA32*1000+CB32*10+CC32)</f>
        <v>2000</v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>Belgium</v>
      </c>
      <c r="CA33" s="88" t="n">
        <v>1</v>
      </c>
      <c r="CB33" s="89"/>
      <c r="CC33" s="90"/>
      <c r="CD33" s="47" t="n">
        <f aca="false">IF(CD32="","",CA33*1000+CB33*10+CC33)</f>
        <v>1000</v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 t="n">
        <v>2</v>
      </c>
      <c r="BN34" s="85"/>
      <c r="BO34" s="86"/>
      <c r="BP34" s="47" t="n">
        <f aca="false">IF(OR(BM34="",BM35="",AND(BN34="",BN35&lt;&gt;""),AND(BN35="",BN34&lt;&gt;""),AND(BO34="",BO35&lt;&gt;""),AND(BO35="",BO34&lt;&gt;"")),"",BM34*1000+BN34*10+BO34)</f>
        <v>2000</v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 t="n">
        <v>0</v>
      </c>
      <c r="BN35" s="89"/>
      <c r="BO35" s="90"/>
      <c r="BP35" s="91" t="n">
        <f aca="false">IF(BP34="","",BM35*1000+BN35*10+BO35)</f>
        <v>0</v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>United States</v>
      </c>
      <c r="BT36" s="84" t="n">
        <v>1</v>
      </c>
      <c r="BU36" s="85"/>
      <c r="BV36" s="86"/>
      <c r="BW36" s="98" t="n">
        <f aca="false">IF(OR(BT36="",BT37="",AND(BU36="",BU37&lt;&gt;""),AND(BU37="",BU36&lt;&gt;""),AND(BV36="",BV37&lt;&gt;""),AND(BV37="",BV36&lt;&gt;"")),"",BT36*1000+BU36*10+BV36)</f>
        <v>1000</v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>Belgium</v>
      </c>
      <c r="BT37" s="88" t="n">
        <v>4</v>
      </c>
      <c r="BU37" s="89"/>
      <c r="BV37" s="90"/>
      <c r="BW37" s="47" t="n">
        <f aca="false">IF(BW36="","",BT37*1000+BU37*10+BV37)</f>
        <v>4000</v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>Spain</v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 t="n">
        <v>3</v>
      </c>
      <c r="BN38" s="85"/>
      <c r="BO38" s="86"/>
      <c r="BP38" s="98" t="n">
        <f aca="false">IF(OR(BM38="",BM39="",AND(BN38="",BN39&lt;&gt;""),AND(BN39="",BN38&lt;&gt;""),AND(BO38="",BO39&lt;&gt;""),AND(BO39="",BO38&lt;&gt;"")),"",BM38*1000+BN38*10+BO38)</f>
        <v>3000</v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 t="n">
        <v>2</v>
      </c>
      <c r="BN39" s="89"/>
      <c r="BO39" s="90"/>
      <c r="BP39" s="47" t="n">
        <f aca="false">IF(BP38="","",BM39*1000+BN39*10+BO39)</f>
        <v>2000</v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 t="n">
        <v>1</v>
      </c>
      <c r="BU44" s="85"/>
      <c r="BV44" s="86"/>
      <c r="BW44" s="47" t="n">
        <f aca="false">IF(OR(BT44="",BT45="",AND(BU44="",BU45&lt;&gt;""),AND(BU45="",BU44&lt;&gt;""),AND(BV44="",BV45&lt;&gt;""),AND(BV45="",BV44&lt;&gt;"")),"",BT44*1000+BU44*10+BV44)</f>
        <v>1000</v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>Norway</v>
      </c>
      <c r="BT45" s="88" t="n">
        <v>2</v>
      </c>
      <c r="BU45" s="89"/>
      <c r="BV45" s="90"/>
      <c r="BW45" s="91" t="n">
        <f aca="false">IF(BW44="","",BT45*1000+BU45*10+BV45)</f>
        <v>2000</v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 t="n">
        <v>1</v>
      </c>
      <c r="BN46" s="85"/>
      <c r="BO46" s="86"/>
      <c r="BP46" s="98" t="n">
        <f aca="false">IF(OR(BM46="",BM47="",AND(BN46="",BN47&lt;&gt;""),AND(BN47="",BN46&lt;&gt;""),AND(BO46="",BO47&lt;&gt;""),AND(BO47="",BO46&lt;&gt;"")),"",BM46*1000+BN46*10+BO46)</f>
        <v>1000</v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 t="n">
        <v>2</v>
      </c>
      <c r="BN47" s="89"/>
      <c r="BO47" s="90"/>
      <c r="BP47" s="47" t="n">
        <f aca="false">IF(BP46="","",BM47*1000+BN47*10+BO47)</f>
        <v>2000</v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>Norway</v>
      </c>
      <c r="CA48" s="84" t="n">
        <v>1</v>
      </c>
      <c r="CB48" s="85" t="n">
        <v>0</v>
      </c>
      <c r="CC48" s="86"/>
      <c r="CD48" s="47" t="n">
        <f aca="false">IF(OR(CA48="",CA49="",AND(CB48="",CB49&lt;&gt;""),AND(CB49="",CB48&lt;&gt;""),AND(CC48="",CC49&lt;&gt;""),AND(CC49="",CC48&lt;&gt;"")),"",CA48*1000+CB48*10+CC48)</f>
        <v>1000</v>
      </c>
      <c r="CK48" s="96"/>
      <c r="CL48" s="47"/>
      <c r="CM48" s="82" t="n">
        <v>103</v>
      </c>
      <c r="CN48" s="83" t="str">
        <f aca="false">IF(CK23&gt;CK24,CG24,IF(CK23&lt;CK24,CG23,""))</f>
        <v>France</v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>England</v>
      </c>
      <c r="CA49" s="88" t="n">
        <v>1</v>
      </c>
      <c r="CB49" s="89" t="n">
        <v>1</v>
      </c>
      <c r="CC49" s="90"/>
      <c r="CD49" s="91" t="n">
        <f aca="false">IF(CD48="","",CA49*1000+CB49*10+CC49)</f>
        <v>1010</v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 t="n">
        <v>2</v>
      </c>
      <c r="BN50" s="85"/>
      <c r="BO50" s="86"/>
      <c r="BP50" s="47" t="n">
        <f aca="false">IF(OR(BM50="",BM51="",AND(BN50="",BN51&lt;&gt;""),AND(BN51="",BN50&lt;&gt;""),AND(BO50="",BO51&lt;&gt;""),AND(BO51="",BO50&lt;&gt;"")),"",BM50*1000+BN50*10+BO50)</f>
        <v>2000</v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 t="n">
        <v>0</v>
      </c>
      <c r="BN51" s="89"/>
      <c r="BO51" s="90"/>
      <c r="BP51" s="91" t="n">
        <f aca="false">IF(BP50="","",BM51*1000+BN51*10+BO51)</f>
        <v>0</v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>Mexico</v>
      </c>
      <c r="BT52" s="84" t="n">
        <v>2</v>
      </c>
      <c r="BU52" s="85"/>
      <c r="BV52" s="86"/>
      <c r="BW52" s="98" t="n">
        <f aca="false">IF(OR(BT52="",BT53="",AND(BU52="",BU53&lt;&gt;""),AND(BU53="",BU52&lt;&gt;""),AND(BV52="",BV53&lt;&gt;""),AND(BV53="",BV52&lt;&gt;"")),"",BT52*1000+BU52*10+BV52)</f>
        <v>2000</v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>England</v>
      </c>
      <c r="BT53" s="88" t="n">
        <v>3</v>
      </c>
      <c r="BU53" s="89"/>
      <c r="BV53" s="90"/>
      <c r="BW53" s="47" t="n">
        <f aca="false">IF(BW52="","",BT53*1000+BU53*10+BV53)</f>
        <v>3000</v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 t="n">
        <v>2</v>
      </c>
      <c r="BN54" s="85"/>
      <c r="BO54" s="86"/>
      <c r="BP54" s="98" t="n">
        <f aca="false">IF(OR(BM54="",BM55="",AND(BN54="",BN55&lt;&gt;""),AND(BN55="",BN54&lt;&gt;""),AND(BO54="",BO55&lt;&gt;""),AND(BO55="",BO54&lt;&gt;"")),"",BM54*1000+BN54*10+BO54)</f>
        <v>2000</v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 t="n">
        <v>1</v>
      </c>
      <c r="BN55" s="89"/>
      <c r="BO55" s="90"/>
      <c r="BP55" s="47" t="n">
        <f aca="false">IF(BP54="","",BM55*1000+BN55*10+BO55)</f>
        <v>1000</v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>England</v>
      </c>
      <c r="CH55" s="84"/>
      <c r="CI55" s="85"/>
      <c r="CJ55" s="86"/>
      <c r="CK55" s="98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>Argentina</v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 t="n">
        <v>1</v>
      </c>
      <c r="BN58" s="85" t="n">
        <v>2</v>
      </c>
      <c r="BO58" s="86"/>
      <c r="BP58" s="47" t="n">
        <f aca="false">IF(OR(BM58="",BM59="",AND(BN58="",BN59&lt;&gt;""),AND(BN59="",BN58&lt;&gt;""),AND(BO58="",BO59&lt;&gt;""),AND(BO59="",BO58&lt;&gt;"")),"",BM58*1000+BN58*10+BO58)</f>
        <v>1020</v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 t="n">
        <v>1</v>
      </c>
      <c r="BN59" s="89" t="n">
        <v>1</v>
      </c>
      <c r="BO59" s="90"/>
      <c r="BP59" s="91" t="n">
        <f aca="false">IF(BP58="","",BM59*1000+BN59*10+BO59)</f>
        <v>1010</v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>Argentina</v>
      </c>
      <c r="BT60" s="84" t="n">
        <v>3</v>
      </c>
      <c r="BU60" s="85"/>
      <c r="BV60" s="86"/>
      <c r="BW60" s="47" t="n">
        <f aca="false">IF(OR(BT60="",BT61="",AND(BU60="",BU61&lt;&gt;""),AND(BU61="",BU60&lt;&gt;""),AND(BV60="",BV61&lt;&gt;""),AND(BV61="",BV60&lt;&gt;"")),"",BT60*1000+BU60*10+BV60)</f>
        <v>3000</v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>Egypt</v>
      </c>
      <c r="BT61" s="88" t="n">
        <v>2</v>
      </c>
      <c r="BU61" s="89"/>
      <c r="BV61" s="90"/>
      <c r="BW61" s="91" t="n">
        <f aca="false">IF(BW60="","",BT61*1000+BU61*10+BV61)</f>
        <v>2000</v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 t="n">
        <v>1</v>
      </c>
      <c r="BN62" s="85" t="n">
        <v>0</v>
      </c>
      <c r="BO62" s="86" t="n">
        <v>2</v>
      </c>
      <c r="BP62" s="98" t="n">
        <f aca="false">IF(OR(BM62="",BM63="",AND(BN62="",BN63&lt;&gt;""),AND(BN63="",BN62&lt;&gt;""),AND(BO62="",BO63&lt;&gt;""),AND(BO63="",BO62&lt;&gt;"")),"",BM62*1000+BN62*10+BO62)</f>
        <v>1002</v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 t="n">
        <v>1</v>
      </c>
      <c r="BN63" s="89" t="n">
        <v>0</v>
      </c>
      <c r="BO63" s="90" t="n">
        <v>4</v>
      </c>
      <c r="BP63" s="47" t="n">
        <f aca="false">IF(BP62="","",BM63*1000+BN63*10+BO63)</f>
        <v>1004</v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>Argentina</v>
      </c>
      <c r="CA64" s="84" t="n">
        <v>1</v>
      </c>
      <c r="CB64" s="85" t="n">
        <v>2</v>
      </c>
      <c r="CC64" s="86"/>
      <c r="CD64" s="98" t="n">
        <f aca="false">IF(OR(CA64="",CA65="",AND(CB64="",CB65&lt;&gt;""),AND(CB65="",CB64&lt;&gt;""),AND(CC64="",CC65&lt;&gt;""),AND(CC65="",CC64&lt;&gt;"")),"",CA64*1000+CB64*10+CC64)</f>
        <v>1020</v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>Switzerland</v>
      </c>
      <c r="CA65" s="88" t="n">
        <v>1</v>
      </c>
      <c r="CB65" s="89" t="n">
        <v>0</v>
      </c>
      <c r="CC65" s="90"/>
      <c r="CD65" s="47" t="n">
        <f aca="false">IF(CD64="","",CA65*1000+CB65*10+CC65)</f>
        <v>1000</v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 t="n">
        <v>1</v>
      </c>
      <c r="BN66" s="85"/>
      <c r="BO66" s="86"/>
      <c r="BP66" s="47" t="n">
        <f aca="false">IF(OR(BM66="",BM67="",AND(BN66="",BN67&lt;&gt;""),AND(BN67="",BN66&lt;&gt;""),AND(BO66="",BO67&lt;&gt;""),AND(BO67="",BO66&lt;&gt;"")),"",BM66*1000+BN66*10+BO66)</f>
        <v>1000</v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 t="n">
        <v>0</v>
      </c>
      <c r="BN67" s="89"/>
      <c r="BO67" s="90"/>
      <c r="BP67" s="91" t="n">
        <f aca="false">IF(BP66="","",BM67*1000+BN67*10+BO67)</f>
        <v>0</v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>Switzerland</v>
      </c>
      <c r="BT68" s="84" t="n">
        <v>0</v>
      </c>
      <c r="BU68" s="85" t="n">
        <v>0</v>
      </c>
      <c r="BV68" s="86" t="n">
        <v>4</v>
      </c>
      <c r="BW68" s="98" t="n">
        <f aca="false">IF(OR(BT68="",BT69="",AND(BU68="",BU69&lt;&gt;""),AND(BU69="",BU68&lt;&gt;""),AND(BV68="",BV69&lt;&gt;""),AND(BV69="",BV68&lt;&gt;"")),"",BT68*1000+BU68*10+BV68)</f>
        <v>4</v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>Colombia</v>
      </c>
      <c r="BT69" s="88" t="n">
        <v>0</v>
      </c>
      <c r="BU69" s="89" t="n">
        <v>0</v>
      </c>
      <c r="BV69" s="90" t="n">
        <v>3</v>
      </c>
      <c r="BW69" s="47" t="n">
        <f aca="false">IF(BW68="","",BT69*1000+BU69*10+BV69)</f>
        <v>3</v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 t="n">
        <v>1</v>
      </c>
      <c r="BN70" s="85"/>
      <c r="BO70" s="86"/>
      <c r="BP70" s="98" t="n">
        <f aca="false">IF(OR(BM70="",BM71="",AND(BN70="",BN71&lt;&gt;""),AND(BN71="",BN70&lt;&gt;""),AND(BO70="",BO71&lt;&gt;""),AND(BO71="",BO70&lt;&gt;"")),"",BM70*1000+BN70*10+BO70)</f>
        <v>1000</v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 t="n">
        <v>0</v>
      </c>
      <c r="BN71" s="89"/>
      <c r="BO71" s="90"/>
      <c r="BP71" s="47" t="n">
        <f aca="false">IF(BP70="","",BM71*1000+BN71*10+BO71)</f>
        <v>0</v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43" t="str">
        <f aca="false" t="array" ref="T85:T85">IF(OR(S85="",S85="draw"),INDEX(T,87,lang),S85)</f>
        <v>France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43" t="str">
        <f aca="false" t="array" ref="T86:T86">IF(OR(S86="",S86="draw"),INDEX(T,88,lang),S86)</f>
        <v>Portugal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43" t="str">
        <f aca="false" t="array" ref="T87:T87">IF(OR(S87="",S87="draw"),INDEX(T,89,lang),S87)</f>
        <v>Spain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43" t="str">
        <f aca="false">IF(OR(S90="",S90="draw"),INDEX(T,92,lang),S90)</f>
        <v>United States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43" t="str">
        <f aca="false">IF(OR(S91="",S91="draw"),INDEX(T,93,lang),S91)</f>
        <v>Belgium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43" t="str">
        <f aca="false">IF(OR(S95="",S95="draw"),INDEX(T,94,lang),S95)</f>
        <v>France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43" t="str">
        <f aca="false">IF(OR(S96="",S96="draw"),INDEX(T,95,lang),S96)</f>
        <v>Morocco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43" t="str">
        <f aca="false">IF(OR(S97="",S97="draw"),INDEX(T,96,lang),S97)</f>
        <v>Spain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43" t="str">
        <f aca="false">IF(OR(S98="",S98="draw"),INDEX(T,97,lang),S98)</f>
        <v>Belgium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43" t="str">
        <f aca="false">IF(OR(S102="",S102="draw"),INDEX(T,98,lang),S102)</f>
        <v>France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>Morocco</v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str">
        <f aca="false">IF(OR(U102="",U102="draw"),INDEX(T,100,lang),U102)</f>
        <v>Morocco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>Spain</v>
      </c>
      <c r="T103" s="43" t="str">
        <f aca="false">IF(OR(S103="",S103="draw"),INDEX(T,99,lang),S103)</f>
        <v>Spain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>Belgium</v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str">
        <f aca="false">IF(OR(U103="",U103="draw"),INDEX(T,101,lang),U103)</f>
        <v>Belgium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>Spain</v>
      </c>
      <c r="T111" s="43" t="str">
        <f aca="false">S111</f>
        <v>Spain</v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2337</TotalTime>
  <Application>LibreOffice/26.2.4.2$Linux_X86_64 LibreOffice_project/64a984c51f4702dbd3710b13428c673a2f1292e7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2026-07-14T17:11:07Z</dcterms:modified>
  <cp:revision>86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