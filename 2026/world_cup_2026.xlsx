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<sst xmlns="http://schemas.openxmlformats.org/spreadsheetml/2006/main" count="9786" uniqueCount="3698">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</sst>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1464120</xdr:colOff>
      <xdr:row>13</xdr:row>
      <xdr:rowOff>162000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1458360</xdr:colOff>
      <xdr:row>50</xdr:row>
      <xdr:rowOff>156960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1468440</xdr:colOff>
      <xdr:row>9</xdr:row>
      <xdr:rowOff>161280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1468080</xdr:colOff>
      <xdr:row>24</xdr:row>
      <xdr:rowOff>161280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1468440</xdr:colOff>
      <xdr:row>18</xdr:row>
      <xdr:rowOff>161280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1468800</xdr:colOff>
      <xdr:row>22</xdr:row>
      <xdr:rowOff>163800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218160</xdr:colOff>
      <xdr:row>36</xdr:row>
      <xdr:rowOff>154080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220680</xdr:colOff>
      <xdr:row>35</xdr:row>
      <xdr:rowOff>163800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218160</xdr:colOff>
      <xdr:row>27</xdr:row>
      <xdr:rowOff>163800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1468080</xdr:colOff>
      <xdr:row>15</xdr:row>
      <xdr:rowOff>154440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218160</xdr:colOff>
      <xdr:row>16</xdr:row>
      <xdr:rowOff>144720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1468080</xdr:colOff>
      <xdr:row>19</xdr:row>
      <xdr:rowOff>154440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1468080</xdr:colOff>
      <xdr:row>21</xdr:row>
      <xdr:rowOff>154440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177120</xdr:colOff>
      <xdr:row>13</xdr:row>
      <xdr:rowOff>154800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004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1468080</xdr:colOff>
      <xdr:row>42</xdr:row>
      <xdr:rowOff>154800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220320</xdr:colOff>
      <xdr:row>76</xdr:row>
      <xdr:rowOff>154800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1468080</xdr:colOff>
      <xdr:row>12</xdr:row>
      <xdr:rowOff>155160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205200</xdr:colOff>
      <xdr:row>32</xdr:row>
      <xdr:rowOff>159840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1452960</xdr:colOff>
      <xdr:row>27</xdr:row>
      <xdr:rowOff>154440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620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1463040</xdr:colOff>
      <xdr:row>36</xdr:row>
      <xdr:rowOff>163440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1465200</xdr:colOff>
      <xdr:row>48</xdr:row>
      <xdr:rowOff>163800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215280</xdr:colOff>
      <xdr:row>43</xdr:row>
      <xdr:rowOff>158040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1459800</xdr:colOff>
      <xdr:row>47</xdr:row>
      <xdr:rowOff>159120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1470240</xdr:colOff>
      <xdr:row>11</xdr:row>
      <xdr:rowOff>159120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215280</xdr:colOff>
      <xdr:row>12</xdr:row>
      <xdr:rowOff>149400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1459800</xdr:colOff>
      <xdr:row>73</xdr:row>
      <xdr:rowOff>161640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1465200</xdr:colOff>
      <xdr:row>38</xdr:row>
      <xdr:rowOff>156600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212040</xdr:colOff>
      <xdr:row>41</xdr:row>
      <xdr:rowOff>149760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1459080</xdr:colOff>
      <xdr:row>43</xdr:row>
      <xdr:rowOff>161640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1450080</xdr:colOff>
      <xdr:row>44</xdr:row>
      <xdr:rowOff>161640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1442520</xdr:colOff>
      <xdr:row>31</xdr:row>
      <xdr:rowOff>162000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004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1460520</xdr:colOff>
      <xdr:row>71</xdr:row>
      <xdr:rowOff>162360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1450080</xdr:colOff>
      <xdr:row>28</xdr:row>
      <xdr:rowOff>162360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1470240</xdr:colOff>
      <xdr:row>34</xdr:row>
      <xdr:rowOff>160200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211680</xdr:colOff>
      <xdr:row>57</xdr:row>
      <xdr:rowOff>158760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221040</xdr:colOff>
      <xdr:row>72</xdr:row>
      <xdr:rowOff>148320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218160</xdr:colOff>
      <xdr:row>64</xdr:row>
      <xdr:rowOff>150480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219240</xdr:colOff>
      <xdr:row>75</xdr:row>
      <xdr:rowOff>156240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220320</xdr:colOff>
      <xdr:row>70</xdr:row>
      <xdr:rowOff>160560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219240</xdr:colOff>
      <xdr:row>66</xdr:row>
      <xdr:rowOff>152640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220680</xdr:colOff>
      <xdr:row>65</xdr:row>
      <xdr:rowOff>162360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1464480</xdr:colOff>
      <xdr:row>55</xdr:row>
      <xdr:rowOff>159840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220680</xdr:colOff>
      <xdr:row>51</xdr:row>
      <xdr:rowOff>160560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216720</xdr:colOff>
      <xdr:row>61</xdr:row>
      <xdr:rowOff>158040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1477440</xdr:colOff>
      <xdr:row>62</xdr:row>
      <xdr:rowOff>150120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216720</xdr:colOff>
      <xdr:row>71</xdr:row>
      <xdr:rowOff>159480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216720</xdr:colOff>
      <xdr:row>69</xdr:row>
      <xdr:rowOff>160560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1452240</xdr:colOff>
      <xdr:row>52</xdr:row>
      <xdr:rowOff>161280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206640</xdr:colOff>
      <xdr:row>15</xdr:row>
      <xdr:rowOff>149760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197280</xdr:colOff>
      <xdr:row>39</xdr:row>
      <xdr:rowOff>149760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1454400</xdr:colOff>
      <xdr:row>60</xdr:row>
      <xdr:rowOff>149760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206640</xdr:colOff>
      <xdr:row>6</xdr:row>
      <xdr:rowOff>149760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197280</xdr:colOff>
      <xdr:row>30</xdr:row>
      <xdr:rowOff>149760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1454400</xdr:colOff>
      <xdr:row>59</xdr:row>
      <xdr:rowOff>149760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1454760</xdr:colOff>
      <xdr:row>7</xdr:row>
      <xdr:rowOff>149400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8840" cy="120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1454400</xdr:colOff>
      <xdr:row>6</xdr:row>
      <xdr:rowOff>140040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8200" cy="120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187920</xdr:colOff>
      <xdr:row>33</xdr:row>
      <xdr:rowOff>140040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8840" cy="120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197280</xdr:colOff>
      <xdr:row>59</xdr:row>
      <xdr:rowOff>140040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8840" cy="120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1454400</xdr:colOff>
      <xdr:row>33</xdr:row>
      <xdr:rowOff>140040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8200" cy="120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206640</xdr:colOff>
      <xdr:row>58</xdr:row>
      <xdr:rowOff>140040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8200" cy="120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216360</xdr:colOff>
      <xdr:row>7</xdr:row>
      <xdr:rowOff>149400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1464120</xdr:colOff>
      <xdr:row>30</xdr:row>
      <xdr:rowOff>159120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1454400</xdr:colOff>
      <xdr:row>58</xdr:row>
      <xdr:rowOff>140040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1464120</xdr:colOff>
      <xdr:row>8</xdr:row>
      <xdr:rowOff>149760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1464120</xdr:colOff>
      <xdr:row>32</xdr:row>
      <xdr:rowOff>149760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206640</xdr:colOff>
      <xdr:row>56</xdr:row>
      <xdr:rowOff>149760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216360</xdr:colOff>
      <xdr:row>8</xdr:row>
      <xdr:rowOff>149760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207000</xdr:colOff>
      <xdr:row>31</xdr:row>
      <xdr:rowOff>149760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1464120</xdr:colOff>
      <xdr:row>57</xdr:row>
      <xdr:rowOff>149760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206640</xdr:colOff>
      <xdr:row>9</xdr:row>
      <xdr:rowOff>149760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197280</xdr:colOff>
      <xdr:row>37</xdr:row>
      <xdr:rowOff>149760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1464120</xdr:colOff>
      <xdr:row>65</xdr:row>
      <xdr:rowOff>149760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1464120</xdr:colOff>
      <xdr:row>10</xdr:row>
      <xdr:rowOff>149400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207000</xdr:colOff>
      <xdr:row>34</xdr:row>
      <xdr:rowOff>159120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216360</xdr:colOff>
      <xdr:row>55</xdr:row>
      <xdr:rowOff>159120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216360</xdr:colOff>
      <xdr:row>10</xdr:row>
      <xdr:rowOff>149760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1464120</xdr:colOff>
      <xdr:row>35</xdr:row>
      <xdr:rowOff>149760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1464120</xdr:colOff>
      <xdr:row>54</xdr:row>
      <xdr:rowOff>149760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206640</xdr:colOff>
      <xdr:row>11</xdr:row>
      <xdr:rowOff>149760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1454400</xdr:colOff>
      <xdr:row>37</xdr:row>
      <xdr:rowOff>149760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1464120</xdr:colOff>
      <xdr:row>64</xdr:row>
      <xdr:rowOff>149760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216360</xdr:colOff>
      <xdr:row>54</xdr:row>
      <xdr:rowOff>159120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1445040</xdr:colOff>
      <xdr:row>56</xdr:row>
      <xdr:rowOff>159120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004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1464120</xdr:colOff>
      <xdr:row>14</xdr:row>
      <xdr:rowOff>149400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216360</xdr:colOff>
      <xdr:row>38</xdr:row>
      <xdr:rowOff>159120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216360</xdr:colOff>
      <xdr:row>60</xdr:row>
      <xdr:rowOff>159120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207000</xdr:colOff>
      <xdr:row>14</xdr:row>
      <xdr:rowOff>149400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1464120</xdr:colOff>
      <xdr:row>39</xdr:row>
      <xdr:rowOff>159120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1464120</xdr:colOff>
      <xdr:row>61</xdr:row>
      <xdr:rowOff>159120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1464120</xdr:colOff>
      <xdr:row>16</xdr:row>
      <xdr:rowOff>159120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1464120</xdr:colOff>
      <xdr:row>40</xdr:row>
      <xdr:rowOff>159120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216360</xdr:colOff>
      <xdr:row>63</xdr:row>
      <xdr:rowOff>159120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1464120</xdr:colOff>
      <xdr:row>17</xdr:row>
      <xdr:rowOff>159120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216360</xdr:colOff>
      <xdr:row>40</xdr:row>
      <xdr:rowOff>149400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216360</xdr:colOff>
      <xdr:row>62</xdr:row>
      <xdr:rowOff>149400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216360</xdr:colOff>
      <xdr:row>17</xdr:row>
      <xdr:rowOff>159120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1464120</xdr:colOff>
      <xdr:row>41</xdr:row>
      <xdr:rowOff>159120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1464120</xdr:colOff>
      <xdr:row>63</xdr:row>
      <xdr:rowOff>159120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207000</xdr:colOff>
      <xdr:row>18</xdr:row>
      <xdr:rowOff>149760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207000</xdr:colOff>
      <xdr:row>19</xdr:row>
      <xdr:rowOff>149760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207000</xdr:colOff>
      <xdr:row>42</xdr:row>
      <xdr:rowOff>149760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1464120</xdr:colOff>
      <xdr:row>70</xdr:row>
      <xdr:rowOff>149760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1464120</xdr:colOff>
      <xdr:row>20</xdr:row>
      <xdr:rowOff>149760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207000</xdr:colOff>
      <xdr:row>44</xdr:row>
      <xdr:rowOff>149760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207000</xdr:colOff>
      <xdr:row>68</xdr:row>
      <xdr:rowOff>149760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1464120</xdr:colOff>
      <xdr:row>23</xdr:row>
      <xdr:rowOff>149760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207000</xdr:colOff>
      <xdr:row>47</xdr:row>
      <xdr:rowOff>149760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207000</xdr:colOff>
      <xdr:row>67</xdr:row>
      <xdr:rowOff>149760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1454760</xdr:colOff>
      <xdr:row>45</xdr:row>
      <xdr:rowOff>149760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1464120</xdr:colOff>
      <xdr:row>69</xdr:row>
      <xdr:rowOff>149760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207000</xdr:colOff>
      <xdr:row>20</xdr:row>
      <xdr:rowOff>149760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207000</xdr:colOff>
      <xdr:row>21</xdr:row>
      <xdr:rowOff>159120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207000</xdr:colOff>
      <xdr:row>45</xdr:row>
      <xdr:rowOff>159120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1464120</xdr:colOff>
      <xdr:row>68</xdr:row>
      <xdr:rowOff>159120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207000</xdr:colOff>
      <xdr:row>22</xdr:row>
      <xdr:rowOff>149760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207000</xdr:colOff>
      <xdr:row>46</xdr:row>
      <xdr:rowOff>149760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1464120</xdr:colOff>
      <xdr:row>67</xdr:row>
      <xdr:rowOff>149760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792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1464120</xdr:colOff>
      <xdr:row>66</xdr:row>
      <xdr:rowOff>159120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1464120</xdr:colOff>
      <xdr:row>46</xdr:row>
      <xdr:rowOff>149400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207000</xdr:colOff>
      <xdr:row>23</xdr:row>
      <xdr:rowOff>159120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197280</xdr:colOff>
      <xdr:row>24</xdr:row>
      <xdr:rowOff>140040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8200" cy="120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197280</xdr:colOff>
      <xdr:row>49</xdr:row>
      <xdr:rowOff>140040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8200" cy="120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1454400</xdr:colOff>
      <xdr:row>74</xdr:row>
      <xdr:rowOff>149400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8200" cy="120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1454400</xdr:colOff>
      <xdr:row>25</xdr:row>
      <xdr:rowOff>149760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197280</xdr:colOff>
      <xdr:row>48</xdr:row>
      <xdr:rowOff>149760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197280</xdr:colOff>
      <xdr:row>74</xdr:row>
      <xdr:rowOff>149760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207000</xdr:colOff>
      <xdr:row>25</xdr:row>
      <xdr:rowOff>149400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1454760</xdr:colOff>
      <xdr:row>75</xdr:row>
      <xdr:rowOff>159120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1454760</xdr:colOff>
      <xdr:row>49</xdr:row>
      <xdr:rowOff>159120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197280</xdr:colOff>
      <xdr:row>26</xdr:row>
      <xdr:rowOff>140040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1454400</xdr:colOff>
      <xdr:row>51</xdr:row>
      <xdr:rowOff>149760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1454400</xdr:colOff>
      <xdr:row>72</xdr:row>
      <xdr:rowOff>149760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1464120</xdr:colOff>
      <xdr:row>26</xdr:row>
      <xdr:rowOff>159120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216360</xdr:colOff>
      <xdr:row>50</xdr:row>
      <xdr:rowOff>159120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216360</xdr:colOff>
      <xdr:row>73</xdr:row>
      <xdr:rowOff>159120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197280</xdr:colOff>
      <xdr:row>28</xdr:row>
      <xdr:rowOff>149760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197280</xdr:colOff>
      <xdr:row>53</xdr:row>
      <xdr:rowOff>149760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1454400</xdr:colOff>
      <xdr:row>77</xdr:row>
      <xdr:rowOff>149760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8200" cy="13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216360</xdr:colOff>
      <xdr:row>29</xdr:row>
      <xdr:rowOff>159120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1454760</xdr:colOff>
      <xdr:row>76</xdr:row>
      <xdr:rowOff>159120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1454760</xdr:colOff>
      <xdr:row>53</xdr:row>
      <xdr:rowOff>159120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728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1464120</xdr:colOff>
      <xdr:row>29</xdr:row>
      <xdr:rowOff>159120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207000</xdr:colOff>
      <xdr:row>52</xdr:row>
      <xdr:rowOff>159120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207000</xdr:colOff>
      <xdr:row>77</xdr:row>
      <xdr:rowOff>159120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7920" cy="140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D29" colorId="64" zoomScale="124" zoomScaleNormal="124" zoomScalePageLayoutView="100" workbookViewId="0">
      <selection pane="topLeft" activeCell="BM70" activeCellId="0" sqref="BM70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/>
      <c r="BU20" s="85"/>
      <c r="BV20" s="86"/>
      <c r="BW20" s="98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 t="n">
        <v>2</v>
      </c>
      <c r="BN26" s="85"/>
      <c r="BO26" s="86"/>
      <c r="BP26" s="47" t="n">
        <f aca="false">IF(OR(BM26="",BM27="",AND(BN26="",BN27&lt;&gt;""),AND(BN27="",BN26&lt;&gt;""),AND(BO26="",BO27&lt;&gt;""),AND(BO27="",BO26&lt;&gt;"")),"",BM26*1000+BN26*10+BO26)</f>
        <v>2000</v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 t="n">
        <v>1</v>
      </c>
      <c r="BN27" s="89"/>
      <c r="BO27" s="90"/>
      <c r="BP27" s="91" t="n">
        <f aca="false">IF(BP26="","",BM27*1000+BN27*10+BO27)</f>
        <v>1000</v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>Portugal</v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>Spain</v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 t="n">
        <v>3</v>
      </c>
      <c r="BN30" s="85"/>
      <c r="BO30" s="86"/>
      <c r="BP30" s="98" t="n">
        <f aca="false">IF(OR(BM30="",BM31="",AND(BN30="",BN31&lt;&gt;""),AND(BN31="",BN30&lt;&gt;""),AND(BO30="",BO31&lt;&gt;""),AND(BO31="",BO30&lt;&gt;"")),"",BM30*1000+BN30*10+BO30)</f>
        <v>3000</v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 t="n">
        <v>0</v>
      </c>
      <c r="BN31" s="89"/>
      <c r="BO31" s="90"/>
      <c r="BP31" s="47" t="n">
        <f aca="false">IF(BP30="","",BM31*1000+BN31*10+BO31)</f>
        <v>0</v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8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/>
      <c r="BU36" s="85"/>
      <c r="BV36" s="86"/>
      <c r="BW36" s="98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/>
      <c r="BU52" s="85"/>
      <c r="BV52" s="86"/>
      <c r="BW52" s="98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/>
      <c r="BN58" s="85"/>
      <c r="BO58" s="86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/>
      <c r="BN59" s="89"/>
      <c r="BO59" s="90"/>
      <c r="BP59" s="91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/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/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/>
      <c r="BN62" s="85"/>
      <c r="BO62" s="86"/>
      <c r="BP62" s="98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/>
      <c r="BN63" s="89"/>
      <c r="BO63" s="90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8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 t="n">
        <v>1</v>
      </c>
      <c r="BN66" s="85"/>
      <c r="BO66" s="86"/>
      <c r="BP66" s="47" t="n">
        <f aca="false">IF(OR(BM66="",BM67="",AND(BN66="",BN67&lt;&gt;""),AND(BN67="",BN66&lt;&gt;""),AND(BO66="",BO67&lt;&gt;""),AND(BO67="",BO66&lt;&gt;"")),"",BM66*1000+BN66*10+BO66)</f>
        <v>1000</v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 t="n">
        <v>0</v>
      </c>
      <c r="BN67" s="89"/>
      <c r="BO67" s="90"/>
      <c r="BP67" s="91" t="n">
        <f aca="false">IF(BP66="","",BM67*1000+BN67*10+BO67)</f>
        <v>0</v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>Switzerland</v>
      </c>
      <c r="BT68" s="84"/>
      <c r="BU68" s="85"/>
      <c r="BV68" s="86"/>
      <c r="BW68" s="98" t="str">
        <f aca="false">IF(OR(BT68="",BT69="",AND(BU68="",BU69&lt;&gt;""),AND(BU69="",BU68&lt;&gt;""),AND(BV68="",BV69&lt;&gt;""),AND(BV69="",BV68&lt;&gt;"")),"",BT68*1000+BU68*10+BV68)</f>
        <v/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/>
      </c>
      <c r="BT69" s="88"/>
      <c r="BU69" s="89"/>
      <c r="BV69" s="90"/>
      <c r="BW69" s="47" t="str">
        <f aca="false">IF(BW68="","",BT69*1000+BU69*10+BV69)</f>
        <v/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/>
      <c r="BN70" s="85"/>
      <c r="BO70" s="86"/>
      <c r="BP70" s="98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/>
      <c r="BN71" s="89"/>
      <c r="BO71" s="90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43" t="str">
        <f aca="false" t="array" ref="T86:T86">IF(OR(S86="",S86="draw"),INDEX(T,88,lang),S86)</f>
        <v>Portugal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43" t="str">
        <f aca="false" t="array" ref="T87:T87">IF(OR(S87="",S87="draw"),INDEX(T,89,lang),S87)</f>
        <v>Spain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1613</TotalTime>
  <Application>LibreOffice/26.2.4.2$Linux_X86_64 LibreOffice_project/df4f15f06f7b375c1d16aa35fba92d50b262cd01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2026-07-03T00:07:50Z</dcterms:modified>
  <cp:revision>72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