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<sst xmlns="http://schemas.openxmlformats.org/spreadsheetml/2006/main" count="9786" uniqueCount="3698">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</sst>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1461240</xdr:colOff>
      <xdr:row>13</xdr:row>
      <xdr:rowOff>159120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1455480</xdr:colOff>
      <xdr:row>50</xdr:row>
      <xdr:rowOff>154080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1465560</xdr:colOff>
      <xdr:row>9</xdr:row>
      <xdr:rowOff>158400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1465200</xdr:colOff>
      <xdr:row>24</xdr:row>
      <xdr:rowOff>158400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1465560</xdr:colOff>
      <xdr:row>18</xdr:row>
      <xdr:rowOff>158400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1465920</xdr:colOff>
      <xdr:row>22</xdr:row>
      <xdr:rowOff>160920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215280</xdr:colOff>
      <xdr:row>36</xdr:row>
      <xdr:rowOff>151200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217800</xdr:colOff>
      <xdr:row>35</xdr:row>
      <xdr:rowOff>160920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215280</xdr:colOff>
      <xdr:row>27</xdr:row>
      <xdr:rowOff>160920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1465200</xdr:colOff>
      <xdr:row>15</xdr:row>
      <xdr:rowOff>151560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215280</xdr:colOff>
      <xdr:row>16</xdr:row>
      <xdr:rowOff>141840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1465200</xdr:colOff>
      <xdr:row>19</xdr:row>
      <xdr:rowOff>151560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1465200</xdr:colOff>
      <xdr:row>21</xdr:row>
      <xdr:rowOff>151560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174240</xdr:colOff>
      <xdr:row>13</xdr:row>
      <xdr:rowOff>151920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716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1465200</xdr:colOff>
      <xdr:row>42</xdr:row>
      <xdr:rowOff>151920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217440</xdr:colOff>
      <xdr:row>76</xdr:row>
      <xdr:rowOff>151920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1465200</xdr:colOff>
      <xdr:row>12</xdr:row>
      <xdr:rowOff>152280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202320</xdr:colOff>
      <xdr:row>32</xdr:row>
      <xdr:rowOff>156960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1450080</xdr:colOff>
      <xdr:row>27</xdr:row>
      <xdr:rowOff>151560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332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1460160</xdr:colOff>
      <xdr:row>36</xdr:row>
      <xdr:rowOff>160560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1462320</xdr:colOff>
      <xdr:row>48</xdr:row>
      <xdr:rowOff>160920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212400</xdr:colOff>
      <xdr:row>43</xdr:row>
      <xdr:rowOff>155160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1456920</xdr:colOff>
      <xdr:row>47</xdr:row>
      <xdr:rowOff>156240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1467360</xdr:colOff>
      <xdr:row>11</xdr:row>
      <xdr:rowOff>156240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212400</xdr:colOff>
      <xdr:row>12</xdr:row>
      <xdr:rowOff>146520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1456920</xdr:colOff>
      <xdr:row>73</xdr:row>
      <xdr:rowOff>158760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1462320</xdr:colOff>
      <xdr:row>38</xdr:row>
      <xdr:rowOff>153720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209160</xdr:colOff>
      <xdr:row>41</xdr:row>
      <xdr:rowOff>146880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1456200</xdr:colOff>
      <xdr:row>43</xdr:row>
      <xdr:rowOff>158760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1447200</xdr:colOff>
      <xdr:row>44</xdr:row>
      <xdr:rowOff>158760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1439640</xdr:colOff>
      <xdr:row>31</xdr:row>
      <xdr:rowOff>159120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716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1457640</xdr:colOff>
      <xdr:row>71</xdr:row>
      <xdr:rowOff>159480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1447200</xdr:colOff>
      <xdr:row>28</xdr:row>
      <xdr:rowOff>159480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1467360</xdr:colOff>
      <xdr:row>34</xdr:row>
      <xdr:rowOff>157320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208800</xdr:colOff>
      <xdr:row>57</xdr:row>
      <xdr:rowOff>155880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218160</xdr:colOff>
      <xdr:row>72</xdr:row>
      <xdr:rowOff>145440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215280</xdr:colOff>
      <xdr:row>64</xdr:row>
      <xdr:rowOff>147600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216360</xdr:colOff>
      <xdr:row>75</xdr:row>
      <xdr:rowOff>153360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217440</xdr:colOff>
      <xdr:row>70</xdr:row>
      <xdr:rowOff>157680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216360</xdr:colOff>
      <xdr:row>66</xdr:row>
      <xdr:rowOff>149760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217800</xdr:colOff>
      <xdr:row>65</xdr:row>
      <xdr:rowOff>159480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1461600</xdr:colOff>
      <xdr:row>55</xdr:row>
      <xdr:rowOff>156960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217800</xdr:colOff>
      <xdr:row>51</xdr:row>
      <xdr:rowOff>157680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213840</xdr:colOff>
      <xdr:row>61</xdr:row>
      <xdr:rowOff>155160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1474560</xdr:colOff>
      <xdr:row>62</xdr:row>
      <xdr:rowOff>147240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213840</xdr:colOff>
      <xdr:row>71</xdr:row>
      <xdr:rowOff>156600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213840</xdr:colOff>
      <xdr:row>69</xdr:row>
      <xdr:rowOff>157680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1449360</xdr:colOff>
      <xdr:row>52</xdr:row>
      <xdr:rowOff>158400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203760</xdr:colOff>
      <xdr:row>15</xdr:row>
      <xdr:rowOff>146880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194400</xdr:colOff>
      <xdr:row>39</xdr:row>
      <xdr:rowOff>146880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1451520</xdr:colOff>
      <xdr:row>60</xdr:row>
      <xdr:rowOff>146880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203760</xdr:colOff>
      <xdr:row>6</xdr:row>
      <xdr:rowOff>146880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194400</xdr:colOff>
      <xdr:row>30</xdr:row>
      <xdr:rowOff>146880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1451520</xdr:colOff>
      <xdr:row>59</xdr:row>
      <xdr:rowOff>146880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1451880</xdr:colOff>
      <xdr:row>7</xdr:row>
      <xdr:rowOff>146520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596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1451520</xdr:colOff>
      <xdr:row>6</xdr:row>
      <xdr:rowOff>137160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532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185040</xdr:colOff>
      <xdr:row>33</xdr:row>
      <xdr:rowOff>137160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596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194400</xdr:colOff>
      <xdr:row>59</xdr:row>
      <xdr:rowOff>137160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596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1451520</xdr:colOff>
      <xdr:row>33</xdr:row>
      <xdr:rowOff>137160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532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203760</xdr:colOff>
      <xdr:row>58</xdr:row>
      <xdr:rowOff>137160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532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213480</xdr:colOff>
      <xdr:row>7</xdr:row>
      <xdr:rowOff>146520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1461240</xdr:colOff>
      <xdr:row>30</xdr:row>
      <xdr:rowOff>156240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1451520</xdr:colOff>
      <xdr:row>58</xdr:row>
      <xdr:rowOff>137160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1461240</xdr:colOff>
      <xdr:row>8</xdr:row>
      <xdr:rowOff>146880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1461240</xdr:colOff>
      <xdr:row>32</xdr:row>
      <xdr:rowOff>146880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203760</xdr:colOff>
      <xdr:row>56</xdr:row>
      <xdr:rowOff>146880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213480</xdr:colOff>
      <xdr:row>8</xdr:row>
      <xdr:rowOff>146880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204120</xdr:colOff>
      <xdr:row>31</xdr:row>
      <xdr:rowOff>146880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1461240</xdr:colOff>
      <xdr:row>57</xdr:row>
      <xdr:rowOff>146880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203760</xdr:colOff>
      <xdr:row>9</xdr:row>
      <xdr:rowOff>146880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194400</xdr:colOff>
      <xdr:row>37</xdr:row>
      <xdr:rowOff>146880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1461240</xdr:colOff>
      <xdr:row>65</xdr:row>
      <xdr:rowOff>146880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1461240</xdr:colOff>
      <xdr:row>10</xdr:row>
      <xdr:rowOff>146520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204120</xdr:colOff>
      <xdr:row>34</xdr:row>
      <xdr:rowOff>156240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213480</xdr:colOff>
      <xdr:row>55</xdr:row>
      <xdr:rowOff>156240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213480</xdr:colOff>
      <xdr:row>10</xdr:row>
      <xdr:rowOff>146880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1461240</xdr:colOff>
      <xdr:row>35</xdr:row>
      <xdr:rowOff>146880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1461240</xdr:colOff>
      <xdr:row>54</xdr:row>
      <xdr:rowOff>146880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203760</xdr:colOff>
      <xdr:row>11</xdr:row>
      <xdr:rowOff>146880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1451520</xdr:colOff>
      <xdr:row>37</xdr:row>
      <xdr:rowOff>146880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1461240</xdr:colOff>
      <xdr:row>64</xdr:row>
      <xdr:rowOff>146880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213480</xdr:colOff>
      <xdr:row>54</xdr:row>
      <xdr:rowOff>156240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1442160</xdr:colOff>
      <xdr:row>56</xdr:row>
      <xdr:rowOff>156240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716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1461240</xdr:colOff>
      <xdr:row>14</xdr:row>
      <xdr:rowOff>146520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213480</xdr:colOff>
      <xdr:row>38</xdr:row>
      <xdr:rowOff>156240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213480</xdr:colOff>
      <xdr:row>60</xdr:row>
      <xdr:rowOff>156240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204120</xdr:colOff>
      <xdr:row>14</xdr:row>
      <xdr:rowOff>146520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1461240</xdr:colOff>
      <xdr:row>39</xdr:row>
      <xdr:rowOff>156240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1461240</xdr:colOff>
      <xdr:row>61</xdr:row>
      <xdr:rowOff>156240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1461240</xdr:colOff>
      <xdr:row>16</xdr:row>
      <xdr:rowOff>156240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1461240</xdr:colOff>
      <xdr:row>40</xdr:row>
      <xdr:rowOff>156240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213480</xdr:colOff>
      <xdr:row>63</xdr:row>
      <xdr:rowOff>156240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1461240</xdr:colOff>
      <xdr:row>17</xdr:row>
      <xdr:rowOff>156240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213480</xdr:colOff>
      <xdr:row>40</xdr:row>
      <xdr:rowOff>146520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213480</xdr:colOff>
      <xdr:row>62</xdr:row>
      <xdr:rowOff>146520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213480</xdr:colOff>
      <xdr:row>17</xdr:row>
      <xdr:rowOff>156240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1461240</xdr:colOff>
      <xdr:row>41</xdr:row>
      <xdr:rowOff>156240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1461240</xdr:colOff>
      <xdr:row>63</xdr:row>
      <xdr:rowOff>156240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204120</xdr:colOff>
      <xdr:row>18</xdr:row>
      <xdr:rowOff>146880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204120</xdr:colOff>
      <xdr:row>19</xdr:row>
      <xdr:rowOff>146880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204120</xdr:colOff>
      <xdr:row>42</xdr:row>
      <xdr:rowOff>146880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1461240</xdr:colOff>
      <xdr:row>70</xdr:row>
      <xdr:rowOff>146880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1461240</xdr:colOff>
      <xdr:row>20</xdr:row>
      <xdr:rowOff>146880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204120</xdr:colOff>
      <xdr:row>44</xdr:row>
      <xdr:rowOff>146880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204120</xdr:colOff>
      <xdr:row>68</xdr:row>
      <xdr:rowOff>146880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1461240</xdr:colOff>
      <xdr:row>23</xdr:row>
      <xdr:rowOff>146880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204120</xdr:colOff>
      <xdr:row>47</xdr:row>
      <xdr:rowOff>146880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204120</xdr:colOff>
      <xdr:row>67</xdr:row>
      <xdr:rowOff>146880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1451880</xdr:colOff>
      <xdr:row>45</xdr:row>
      <xdr:rowOff>146880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1461240</xdr:colOff>
      <xdr:row>69</xdr:row>
      <xdr:rowOff>146880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204120</xdr:colOff>
      <xdr:row>20</xdr:row>
      <xdr:rowOff>146880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204120</xdr:colOff>
      <xdr:row>21</xdr:row>
      <xdr:rowOff>156240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204120</xdr:colOff>
      <xdr:row>45</xdr:row>
      <xdr:rowOff>156240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1461240</xdr:colOff>
      <xdr:row>68</xdr:row>
      <xdr:rowOff>156240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204120</xdr:colOff>
      <xdr:row>22</xdr:row>
      <xdr:rowOff>146880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204120</xdr:colOff>
      <xdr:row>46</xdr:row>
      <xdr:rowOff>146880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1461240</xdr:colOff>
      <xdr:row>67</xdr:row>
      <xdr:rowOff>146880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504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1461240</xdr:colOff>
      <xdr:row>66</xdr:row>
      <xdr:rowOff>156240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1461240</xdr:colOff>
      <xdr:row>46</xdr:row>
      <xdr:rowOff>146520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204120</xdr:colOff>
      <xdr:row>23</xdr:row>
      <xdr:rowOff>156240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194400</xdr:colOff>
      <xdr:row>24</xdr:row>
      <xdr:rowOff>137160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532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194400</xdr:colOff>
      <xdr:row>49</xdr:row>
      <xdr:rowOff>137160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532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1451520</xdr:colOff>
      <xdr:row>74</xdr:row>
      <xdr:rowOff>146520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5320" cy="118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1451520</xdr:colOff>
      <xdr:row>25</xdr:row>
      <xdr:rowOff>146880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194400</xdr:colOff>
      <xdr:row>48</xdr:row>
      <xdr:rowOff>146880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194400</xdr:colOff>
      <xdr:row>74</xdr:row>
      <xdr:rowOff>146880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204120</xdr:colOff>
      <xdr:row>25</xdr:row>
      <xdr:rowOff>146520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1451880</xdr:colOff>
      <xdr:row>75</xdr:row>
      <xdr:rowOff>156240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1451880</xdr:colOff>
      <xdr:row>49</xdr:row>
      <xdr:rowOff>156240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194400</xdr:colOff>
      <xdr:row>26</xdr:row>
      <xdr:rowOff>137160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1451520</xdr:colOff>
      <xdr:row>51</xdr:row>
      <xdr:rowOff>146880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1451520</xdr:colOff>
      <xdr:row>72</xdr:row>
      <xdr:rowOff>146880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1461240</xdr:colOff>
      <xdr:row>26</xdr:row>
      <xdr:rowOff>156240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213480</xdr:colOff>
      <xdr:row>50</xdr:row>
      <xdr:rowOff>156240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213480</xdr:colOff>
      <xdr:row>73</xdr:row>
      <xdr:rowOff>156240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194400</xdr:colOff>
      <xdr:row>28</xdr:row>
      <xdr:rowOff>146880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194400</xdr:colOff>
      <xdr:row>53</xdr:row>
      <xdr:rowOff>146880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1451520</xdr:colOff>
      <xdr:row>77</xdr:row>
      <xdr:rowOff>146880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5320" cy="127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213480</xdr:colOff>
      <xdr:row>29</xdr:row>
      <xdr:rowOff>156240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1451880</xdr:colOff>
      <xdr:row>76</xdr:row>
      <xdr:rowOff>156240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1451880</xdr:colOff>
      <xdr:row>53</xdr:row>
      <xdr:rowOff>156240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440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1461240</xdr:colOff>
      <xdr:row>29</xdr:row>
      <xdr:rowOff>156240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204120</xdr:colOff>
      <xdr:row>52</xdr:row>
      <xdr:rowOff>156240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204120</xdr:colOff>
      <xdr:row>77</xdr:row>
      <xdr:rowOff>156240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5040" cy="137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K7" colorId="64" zoomScale="124" zoomScaleNormal="124" zoomScalePageLayoutView="100" workbookViewId="0">
      <selection pane="topLeft" activeCell="CB16" activeCellId="0" sqref="CB1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 t="n">
        <v>2</v>
      </c>
      <c r="CB16" s="85"/>
      <c r="CC16" s="86"/>
      <c r="CD16" s="47" t="n">
        <f aca="false">IF(OR(CA16="",CA17="",AND(CB16="",CB17&lt;&gt;""),AND(CB17="",CB16&lt;&gt;""),AND(CC16="",CC17&lt;&gt;""),AND(CC17="",CC16&lt;&gt;"")),"",CA16*1000+CB16*10+CC16)</f>
        <v>2000</v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 t="n">
        <v>0</v>
      </c>
      <c r="CB17" s="89"/>
      <c r="CC17" s="90"/>
      <c r="CD17" s="91" t="n">
        <f aca="false">IF(CD16="","",CA17*1000+CB17*10+CC17)</f>
        <v>0</v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>France</v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 t="n">
        <v>0</v>
      </c>
      <c r="BU28" s="85"/>
      <c r="BV28" s="86"/>
      <c r="BW28" s="47" t="n">
        <f aca="false">IF(OR(BT28="",BT29="",AND(BU28="",BU29&lt;&gt;""),AND(BU29="",BU28&lt;&gt;""),AND(BV28="",BV29&lt;&gt;""),AND(BV29="",BV28&lt;&gt;"")),"",BT28*1000+BU28*10+BV28)</f>
        <v>0</v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 t="n">
        <v>1</v>
      </c>
      <c r="BU29" s="89"/>
      <c r="BV29" s="90"/>
      <c r="BW29" s="91" t="n">
        <f aca="false">IF(BW28="","",BT29*1000+BU29*10+BV29)</f>
        <v>1000</v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>Spain</v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>Belgium</v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 t="n">
        <v>1</v>
      </c>
      <c r="BU36" s="85"/>
      <c r="BV36" s="86"/>
      <c r="BW36" s="98" t="n">
        <f aca="false">IF(OR(BT36="",BT37="",AND(BU36="",BU37&lt;&gt;""),AND(BU37="",BU36&lt;&gt;""),AND(BV36="",BV37&lt;&gt;""),AND(BV37="",BV36&lt;&gt;"")),"",BT36*1000+BU36*10+BV36)</f>
        <v>1000</v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 t="n">
        <v>4</v>
      </c>
      <c r="BU37" s="89"/>
      <c r="BV37" s="90"/>
      <c r="BW37" s="47" t="n">
        <f aca="false">IF(BW36="","",BT37*1000+BU37*10+BV37)</f>
        <v>4000</v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 t="n">
        <v>3</v>
      </c>
      <c r="BU60" s="85"/>
      <c r="BV60" s="86"/>
      <c r="BW60" s="47" t="n">
        <f aca="false">IF(OR(BT60="",BT61="",AND(BU60="",BU61&lt;&gt;""),AND(BU61="",BU60&lt;&gt;""),AND(BV60="",BV61&lt;&gt;""),AND(BV61="",BV60&lt;&gt;"")),"",BT60*1000+BU60*10+BV60)</f>
        <v>3000</v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 t="n">
        <v>2</v>
      </c>
      <c r="BU61" s="89"/>
      <c r="BV61" s="90"/>
      <c r="BW61" s="91" t="n">
        <f aca="false">IF(BW60="","",BT61*1000+BU61*10+BV61)</f>
        <v>2000</v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>Argentina</v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>Switzerland</v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 t="n">
        <v>0</v>
      </c>
      <c r="BU68" s="85" t="n">
        <v>4</v>
      </c>
      <c r="BV68" s="86"/>
      <c r="BW68" s="98" t="n">
        <f aca="false">IF(OR(BT68="",BT69="",AND(BU68="",BU69&lt;&gt;""),AND(BU69="",BU68&lt;&gt;""),AND(BV68="",BV69&lt;&gt;""),AND(BV69="",BV68&lt;&gt;"")),"",BT68*1000+BU68*10+BV68)</f>
        <v>40</v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 t="n">
        <v>0</v>
      </c>
      <c r="BU69" s="89" t="n">
        <v>3</v>
      </c>
      <c r="BV69" s="90"/>
      <c r="BW69" s="47" t="n">
        <f aca="false">IF(BW68="","",BT69*1000+BU69*10+BV69)</f>
        <v>30</v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43" t="str">
        <f aca="false">IF(OR(S97="",S97="draw"),INDEX(T,96,lang),S97)</f>
        <v>Spain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43" t="str">
        <f aca="false">IF(OR(S98="",S98="draw"),INDEX(T,97,lang),S98)</f>
        <v>Belgium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43" t="str">
        <f aca="false">IF(OR(S102="",S102="draw"),INDEX(T,98,lang),S102)</f>
        <v>France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str">
        <f aca="false">IF(OR(U102="",U102="draw"),INDEX(T,100,lang),U102)</f>
        <v>Morocco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2336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2026-07-09T17:32:52Z</dcterms:modified>
  <cp:revision>82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