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<sst xmlns="http://schemas.openxmlformats.org/spreadsheetml/2006/main" count="9786" uniqueCount="3698">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</sst>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9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1472760</xdr:colOff>
      <xdr:row>13</xdr:row>
      <xdr:rowOff>170640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1467000</xdr:colOff>
      <xdr:row>50</xdr:row>
      <xdr:rowOff>165600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1477080</xdr:colOff>
      <xdr:row>9</xdr:row>
      <xdr:rowOff>169920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1476720</xdr:colOff>
      <xdr:row>24</xdr:row>
      <xdr:rowOff>169920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1477080</xdr:colOff>
      <xdr:row>18</xdr:row>
      <xdr:rowOff>169920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1477440</xdr:colOff>
      <xdr:row>22</xdr:row>
      <xdr:rowOff>172440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226800</xdr:colOff>
      <xdr:row>36</xdr:row>
      <xdr:rowOff>162720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229320</xdr:colOff>
      <xdr:row>35</xdr:row>
      <xdr:rowOff>172440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226800</xdr:colOff>
      <xdr:row>27</xdr:row>
      <xdr:rowOff>172440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1476720</xdr:colOff>
      <xdr:row>15</xdr:row>
      <xdr:rowOff>163080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226800</xdr:colOff>
      <xdr:row>16</xdr:row>
      <xdr:rowOff>153360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1476720</xdr:colOff>
      <xdr:row>19</xdr:row>
      <xdr:rowOff>163080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1476720</xdr:colOff>
      <xdr:row>21</xdr:row>
      <xdr:rowOff>163080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185760</xdr:colOff>
      <xdr:row>13</xdr:row>
      <xdr:rowOff>163440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868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1476720</xdr:colOff>
      <xdr:row>42</xdr:row>
      <xdr:rowOff>163440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228960</xdr:colOff>
      <xdr:row>76</xdr:row>
      <xdr:rowOff>163440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1476720</xdr:colOff>
      <xdr:row>12</xdr:row>
      <xdr:rowOff>163800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213840</xdr:colOff>
      <xdr:row>32</xdr:row>
      <xdr:rowOff>168480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1461600</xdr:colOff>
      <xdr:row>27</xdr:row>
      <xdr:rowOff>163080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484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1471680</xdr:colOff>
      <xdr:row>36</xdr:row>
      <xdr:rowOff>172080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1473840</xdr:colOff>
      <xdr:row>48</xdr:row>
      <xdr:rowOff>172440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223920</xdr:colOff>
      <xdr:row>43</xdr:row>
      <xdr:rowOff>166680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1468440</xdr:colOff>
      <xdr:row>47</xdr:row>
      <xdr:rowOff>167760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1478880</xdr:colOff>
      <xdr:row>11</xdr:row>
      <xdr:rowOff>167760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223920</xdr:colOff>
      <xdr:row>12</xdr:row>
      <xdr:rowOff>158040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1468440</xdr:colOff>
      <xdr:row>73</xdr:row>
      <xdr:rowOff>170280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1473840</xdr:colOff>
      <xdr:row>38</xdr:row>
      <xdr:rowOff>165240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220680</xdr:colOff>
      <xdr:row>41</xdr:row>
      <xdr:rowOff>158400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1467720</xdr:colOff>
      <xdr:row>43</xdr:row>
      <xdr:rowOff>170280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1458720</xdr:colOff>
      <xdr:row>44</xdr:row>
      <xdr:rowOff>170280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1451160</xdr:colOff>
      <xdr:row>31</xdr:row>
      <xdr:rowOff>170640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868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1469160</xdr:colOff>
      <xdr:row>71</xdr:row>
      <xdr:rowOff>171000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1458720</xdr:colOff>
      <xdr:row>28</xdr:row>
      <xdr:rowOff>171000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1478880</xdr:colOff>
      <xdr:row>34</xdr:row>
      <xdr:rowOff>168840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220320</xdr:colOff>
      <xdr:row>57</xdr:row>
      <xdr:rowOff>167400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229680</xdr:colOff>
      <xdr:row>72</xdr:row>
      <xdr:rowOff>156960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226800</xdr:colOff>
      <xdr:row>64</xdr:row>
      <xdr:rowOff>159120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227880</xdr:colOff>
      <xdr:row>75</xdr:row>
      <xdr:rowOff>164880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228960</xdr:colOff>
      <xdr:row>70</xdr:row>
      <xdr:rowOff>169200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227880</xdr:colOff>
      <xdr:row>66</xdr:row>
      <xdr:rowOff>161280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229320</xdr:colOff>
      <xdr:row>65</xdr:row>
      <xdr:rowOff>171000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1473120</xdr:colOff>
      <xdr:row>55</xdr:row>
      <xdr:rowOff>168480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229320</xdr:colOff>
      <xdr:row>51</xdr:row>
      <xdr:rowOff>169200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225360</xdr:colOff>
      <xdr:row>61</xdr:row>
      <xdr:rowOff>166680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1486080</xdr:colOff>
      <xdr:row>62</xdr:row>
      <xdr:rowOff>158760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225360</xdr:colOff>
      <xdr:row>71</xdr:row>
      <xdr:rowOff>168120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225360</xdr:colOff>
      <xdr:row>69</xdr:row>
      <xdr:rowOff>169200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1460880</xdr:colOff>
      <xdr:row>52</xdr:row>
      <xdr:rowOff>169920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215280</xdr:colOff>
      <xdr:row>15</xdr:row>
      <xdr:rowOff>158400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205920</xdr:colOff>
      <xdr:row>39</xdr:row>
      <xdr:rowOff>158400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1463040</xdr:colOff>
      <xdr:row>60</xdr:row>
      <xdr:rowOff>158400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215280</xdr:colOff>
      <xdr:row>6</xdr:row>
      <xdr:rowOff>158400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205920</xdr:colOff>
      <xdr:row>30</xdr:row>
      <xdr:rowOff>158400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1463040</xdr:colOff>
      <xdr:row>59</xdr:row>
      <xdr:rowOff>158400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1463400</xdr:colOff>
      <xdr:row>7</xdr:row>
      <xdr:rowOff>158040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748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1463040</xdr:colOff>
      <xdr:row>6</xdr:row>
      <xdr:rowOff>148680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196560</xdr:colOff>
      <xdr:row>33</xdr:row>
      <xdr:rowOff>148680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748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205920</xdr:colOff>
      <xdr:row>59</xdr:row>
      <xdr:rowOff>148680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748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1463040</xdr:colOff>
      <xdr:row>33</xdr:row>
      <xdr:rowOff>148680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215280</xdr:colOff>
      <xdr:row>58</xdr:row>
      <xdr:rowOff>148680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225000</xdr:colOff>
      <xdr:row>7</xdr:row>
      <xdr:rowOff>158040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1472760</xdr:colOff>
      <xdr:row>30</xdr:row>
      <xdr:rowOff>167760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1463040</xdr:colOff>
      <xdr:row>58</xdr:row>
      <xdr:rowOff>148680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1472760</xdr:colOff>
      <xdr:row>8</xdr:row>
      <xdr:rowOff>158400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1472760</xdr:colOff>
      <xdr:row>32</xdr:row>
      <xdr:rowOff>158400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215280</xdr:colOff>
      <xdr:row>56</xdr:row>
      <xdr:rowOff>158400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225000</xdr:colOff>
      <xdr:row>8</xdr:row>
      <xdr:rowOff>158400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215640</xdr:colOff>
      <xdr:row>31</xdr:row>
      <xdr:rowOff>158400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1472760</xdr:colOff>
      <xdr:row>57</xdr:row>
      <xdr:rowOff>158400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215280</xdr:colOff>
      <xdr:row>9</xdr:row>
      <xdr:rowOff>158400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205920</xdr:colOff>
      <xdr:row>37</xdr:row>
      <xdr:rowOff>158400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1472760</xdr:colOff>
      <xdr:row>65</xdr:row>
      <xdr:rowOff>158400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1472760</xdr:colOff>
      <xdr:row>10</xdr:row>
      <xdr:rowOff>158040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215640</xdr:colOff>
      <xdr:row>34</xdr:row>
      <xdr:rowOff>167760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225000</xdr:colOff>
      <xdr:row>55</xdr:row>
      <xdr:rowOff>167760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225000</xdr:colOff>
      <xdr:row>10</xdr:row>
      <xdr:rowOff>158400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1472760</xdr:colOff>
      <xdr:row>35</xdr:row>
      <xdr:rowOff>158400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1472760</xdr:colOff>
      <xdr:row>54</xdr:row>
      <xdr:rowOff>158400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215280</xdr:colOff>
      <xdr:row>11</xdr:row>
      <xdr:rowOff>158400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1463040</xdr:colOff>
      <xdr:row>37</xdr:row>
      <xdr:rowOff>158400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1472760</xdr:colOff>
      <xdr:row>64</xdr:row>
      <xdr:rowOff>158400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225000</xdr:colOff>
      <xdr:row>54</xdr:row>
      <xdr:rowOff>167760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1453680</xdr:colOff>
      <xdr:row>56</xdr:row>
      <xdr:rowOff>167760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868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1472760</xdr:colOff>
      <xdr:row>14</xdr:row>
      <xdr:rowOff>158040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225000</xdr:colOff>
      <xdr:row>38</xdr:row>
      <xdr:rowOff>167760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225000</xdr:colOff>
      <xdr:row>60</xdr:row>
      <xdr:rowOff>167760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215640</xdr:colOff>
      <xdr:row>14</xdr:row>
      <xdr:rowOff>158040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1472760</xdr:colOff>
      <xdr:row>39</xdr:row>
      <xdr:rowOff>167760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1472760</xdr:colOff>
      <xdr:row>61</xdr:row>
      <xdr:rowOff>167760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1472760</xdr:colOff>
      <xdr:row>16</xdr:row>
      <xdr:rowOff>167760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1472760</xdr:colOff>
      <xdr:row>40</xdr:row>
      <xdr:rowOff>167760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225000</xdr:colOff>
      <xdr:row>63</xdr:row>
      <xdr:rowOff>167760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1472760</xdr:colOff>
      <xdr:row>17</xdr:row>
      <xdr:rowOff>167760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225000</xdr:colOff>
      <xdr:row>40</xdr:row>
      <xdr:rowOff>158040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225000</xdr:colOff>
      <xdr:row>62</xdr:row>
      <xdr:rowOff>158040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225000</xdr:colOff>
      <xdr:row>17</xdr:row>
      <xdr:rowOff>167760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1472760</xdr:colOff>
      <xdr:row>41</xdr:row>
      <xdr:rowOff>167760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1472760</xdr:colOff>
      <xdr:row>63</xdr:row>
      <xdr:rowOff>167760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215640</xdr:colOff>
      <xdr:row>18</xdr:row>
      <xdr:rowOff>158400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215640</xdr:colOff>
      <xdr:row>19</xdr:row>
      <xdr:rowOff>158400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215640</xdr:colOff>
      <xdr:row>42</xdr:row>
      <xdr:rowOff>158400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1472760</xdr:colOff>
      <xdr:row>70</xdr:row>
      <xdr:rowOff>158400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1472760</xdr:colOff>
      <xdr:row>20</xdr:row>
      <xdr:rowOff>158400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215640</xdr:colOff>
      <xdr:row>44</xdr:row>
      <xdr:rowOff>158400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215640</xdr:colOff>
      <xdr:row>68</xdr:row>
      <xdr:rowOff>158400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1472760</xdr:colOff>
      <xdr:row>23</xdr:row>
      <xdr:rowOff>158400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215640</xdr:colOff>
      <xdr:row>47</xdr:row>
      <xdr:rowOff>158400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215640</xdr:colOff>
      <xdr:row>67</xdr:row>
      <xdr:rowOff>158400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1463400</xdr:colOff>
      <xdr:row>45</xdr:row>
      <xdr:rowOff>158400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1472760</xdr:colOff>
      <xdr:row>69</xdr:row>
      <xdr:rowOff>158400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215640</xdr:colOff>
      <xdr:row>20</xdr:row>
      <xdr:rowOff>158400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215640</xdr:colOff>
      <xdr:row>21</xdr:row>
      <xdr:rowOff>167760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215640</xdr:colOff>
      <xdr:row>45</xdr:row>
      <xdr:rowOff>167760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1472760</xdr:colOff>
      <xdr:row>68</xdr:row>
      <xdr:rowOff>167760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215640</xdr:colOff>
      <xdr:row>22</xdr:row>
      <xdr:rowOff>158400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215640</xdr:colOff>
      <xdr:row>46</xdr:row>
      <xdr:rowOff>158400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1472760</xdr:colOff>
      <xdr:row>67</xdr:row>
      <xdr:rowOff>158400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656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1472760</xdr:colOff>
      <xdr:row>66</xdr:row>
      <xdr:rowOff>167760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1472760</xdr:colOff>
      <xdr:row>46</xdr:row>
      <xdr:rowOff>158040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215640</xdr:colOff>
      <xdr:row>23</xdr:row>
      <xdr:rowOff>167760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205920</xdr:colOff>
      <xdr:row>24</xdr:row>
      <xdr:rowOff>148680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205920</xdr:colOff>
      <xdr:row>49</xdr:row>
      <xdr:rowOff>148680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1463040</xdr:colOff>
      <xdr:row>74</xdr:row>
      <xdr:rowOff>158040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1463040</xdr:colOff>
      <xdr:row>25</xdr:row>
      <xdr:rowOff>158400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205920</xdr:colOff>
      <xdr:row>48</xdr:row>
      <xdr:rowOff>158400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205920</xdr:colOff>
      <xdr:row>74</xdr:row>
      <xdr:rowOff>158400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215640</xdr:colOff>
      <xdr:row>25</xdr:row>
      <xdr:rowOff>158040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1463400</xdr:colOff>
      <xdr:row>75</xdr:row>
      <xdr:rowOff>167760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1463400</xdr:colOff>
      <xdr:row>49</xdr:row>
      <xdr:rowOff>167760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205920</xdr:colOff>
      <xdr:row>26</xdr:row>
      <xdr:rowOff>148680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1463040</xdr:colOff>
      <xdr:row>51</xdr:row>
      <xdr:rowOff>158400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1463040</xdr:colOff>
      <xdr:row>72</xdr:row>
      <xdr:rowOff>158400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1472760</xdr:colOff>
      <xdr:row>26</xdr:row>
      <xdr:rowOff>167760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225000</xdr:colOff>
      <xdr:row>50</xdr:row>
      <xdr:rowOff>167760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225000</xdr:colOff>
      <xdr:row>73</xdr:row>
      <xdr:rowOff>167760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205920</xdr:colOff>
      <xdr:row>28</xdr:row>
      <xdr:rowOff>158400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205920</xdr:colOff>
      <xdr:row>53</xdr:row>
      <xdr:rowOff>158400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1463040</xdr:colOff>
      <xdr:row>77</xdr:row>
      <xdr:rowOff>158400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6840" cy="13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225000</xdr:colOff>
      <xdr:row>29</xdr:row>
      <xdr:rowOff>167760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1463400</xdr:colOff>
      <xdr:row>76</xdr:row>
      <xdr:rowOff>167760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1463400</xdr:colOff>
      <xdr:row>53</xdr:row>
      <xdr:rowOff>167760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592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1472760</xdr:colOff>
      <xdr:row>29</xdr:row>
      <xdr:rowOff>167760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215640</xdr:colOff>
      <xdr:row>52</xdr:row>
      <xdr:rowOff>167760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215640</xdr:colOff>
      <xdr:row>77</xdr:row>
      <xdr:rowOff>167760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6560" cy="148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" colorId="64" zoomScale="124" zoomScaleNormal="124" zoomScalePageLayoutView="100" workbookViewId="0">
      <selection pane="topLeft" activeCell="F28" activeCellId="0" sqref="F28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 t="n">
        <v>2</v>
      </c>
      <c r="G12" s="69" t="n">
        <v>0</v>
      </c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 t="n">
        <v>1</v>
      </c>
      <c r="G14" s="9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1</v>
      </c>
      <c r="V14" s="42" t="n">
        <f aca="false">U14*F14</f>
        <v>1</v>
      </c>
      <c r="W14" s="42" t="n">
        <f aca="false">U14*G14</f>
        <v>1</v>
      </c>
      <c r="X14" s="42" t="n">
        <f aca="false">IF(S14="",0,IF(VLOOKUP(E14,$AE$8:$AO$77,11,FALSE())=VLOOKUP(H14,$AE$8:$AO$77,11,FALSE()),1,0))</f>
        <v>1</v>
      </c>
      <c r="Y14" s="42" t="n">
        <f aca="false">X14*F14</f>
        <v>1</v>
      </c>
      <c r="Z14" s="42" t="n">
        <f aca="false">X14*G14</f>
        <v>1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5.99019607843137</v>
      </c>
      <c r="AP14" s="42" t="n">
        <f aca="false">AO14*10000000+BI14*100+AM14/AM18*10+AI14/AI18*1++IF(AQ14=0,ROW(),AQ14)/2000000</f>
        <v>59902060.3046998</v>
      </c>
      <c r="AQ14" s="46" t="n">
        <f aca="false">VLOOKUP(AE14,db_fifarank,2,FALSE())</f>
        <v>1556.48</v>
      </c>
      <c r="AR14" s="45" t="n">
        <f aca="false">AP14/AP18</f>
        <v>0.999999983305308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101</v>
      </c>
      <c r="BA14" s="46" t="n">
        <f aca="false">AZ14/AZ18</f>
        <v>0.990196078431373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101</v>
      </c>
      <c r="BI14" s="46" t="n">
        <f aca="false">BH14/BH18</f>
        <v>0.990196078431373</v>
      </c>
      <c r="BK14" s="83" t="n">
        <v>77</v>
      </c>
      <c r="BL14" s="84" t="str">
        <f aca="false">AS56</f>
        <v>1I</v>
      </c>
      <c r="BM14" s="85"/>
      <c r="BN14" s="86"/>
      <c r="BO14" s="87"/>
      <c r="BP14" s="100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5.99019607843137</v>
      </c>
      <c r="AP15" s="42" t="n">
        <f aca="false">AO15*10000000+BI15*100+AM15/AM18*10+AI15/AI18*1++IF(AQ15=0,ROW(),AQ15)/2000000</f>
        <v>59902060.3046145</v>
      </c>
      <c r="AQ15" s="46" t="n">
        <f aca="false">VLOOKUP(AE15,db_fifarank,2,FALSE())</f>
        <v>1385.84</v>
      </c>
      <c r="AR15" s="45" t="n">
        <f aca="false">AP15/AP18</f>
        <v>0.999999983303884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101</v>
      </c>
      <c r="BA15" s="46" t="n">
        <f aca="false">AZ15/AZ18</f>
        <v>0.990196078431373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101</v>
      </c>
      <c r="BI15" s="46" t="n">
        <f aca="false">BH15/BH18</f>
        <v>0.990196078431373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99" t="n">
        <v>1</v>
      </c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1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5.99019607843137</v>
      </c>
      <c r="AP16" s="42" t="n">
        <f aca="false">AO16*10000000+BI16*100+AM16/AM18*10+AI16/AI18*1++IF(AQ16=0,ROW(),AQ16)/2000000</f>
        <v>59902060.3046491</v>
      </c>
      <c r="AQ16" s="46" t="n">
        <f aca="false">VLOOKUP(AE16,db_fifarank,2,FALSE())</f>
        <v>1454.96</v>
      </c>
      <c r="AR16" s="45" t="n">
        <f aca="false">AP16/AP18</f>
        <v>0.999999983304461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1</v>
      </c>
      <c r="AV16" s="46" t="n">
        <f aca="false" t="array" ref="AV16:AV16">SUMPRODUCT(($E$7:$E$78=AE16)*($U$7:$U$78)*($F$7:$F$78))+SUMPRODUCT(($H$7:$H$78=AE16)*($U$7:$U$78)*($G$7:$G$78))</f>
        <v>1</v>
      </c>
      <c r="AW16" s="46" t="n">
        <f aca="false" t="array" ref="AW16:AW16">SUMPRODUCT(($E$7:$E$78=AE16)*($U$7:$U$78)*($G$7:$G$78))+SUMPRODUCT(($H$7:$H$78=AE16)*($U$7:$U$78)*($F$7:$F$78))</f>
        <v>1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101</v>
      </c>
      <c r="BA16" s="46" t="n">
        <f aca="false">AZ16/AZ18</f>
        <v>0.990196078431373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1</v>
      </c>
      <c r="BD16" s="46" t="n">
        <f aca="false" t="array" ref="BD16:BD16">SUMPRODUCT(($E$7:$E$78=AE16)*($X$7:$X$78)*($F$7:$F$78))+SUMPRODUCT(($H$7:$H$78=AE16)*($X$7:$X$78)*($G$7:$G$78))</f>
        <v>1</v>
      </c>
      <c r="BE16" s="46" t="n">
        <f aca="false" t="array" ref="BE16:BE16">SUMPRODUCT(($E$7:$E$78=AE16)*($X$7:$X$78)*($G$7:$G$78))+SUMPRODUCT(($H$7:$H$78=AE16)*($X$7:$X$78)*($F$7:$F$78))</f>
        <v>1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101</v>
      </c>
      <c r="BI16" s="46" t="n">
        <f aca="false">BH16/BH18</f>
        <v>0.990196078431373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1</v>
      </c>
      <c r="L17" s="81" t="n">
        <f aca="false">VLOOKUP(3,AD14:AN17,3,FALSE())</f>
        <v>0</v>
      </c>
      <c r="M17" s="81" t="n">
        <f aca="false">VLOOKUP(3,AD14:AN17,4,FALSE())</f>
        <v>1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1 - 1</v>
      </c>
      <c r="P17" s="82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1</v>
      </c>
      <c r="AJ17" s="42" t="n">
        <f aca="false">SUMIF($E$7:$E$78,$AE17,$G$7:$G$78) + SUMIF($H$7:$H$78,$AE17,$F$7:$F$78)</f>
        <v>1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1</v>
      </c>
      <c r="AO17" s="42" t="n">
        <f aca="false">AN17/AN18*10+BA17</f>
        <v>5.99019607843137</v>
      </c>
      <c r="AP17" s="42" t="n">
        <f aca="false">AO17*10000000+BI17*100+AM17/AM18*10+AI17/AI18*1++IF(AQ17=0,ROW(),AQ17)/2000000</f>
        <v>59902060.3047463</v>
      </c>
      <c r="AQ17" s="46" t="n">
        <f aca="false">VLOOKUP(AE17,db_fifarank,2,FALSE())</f>
        <v>1649.4</v>
      </c>
      <c r="AR17" s="45" t="n">
        <f aca="false">AP17/AP18</f>
        <v>0.999999983306084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1</v>
      </c>
      <c r="AV17" s="46" t="n">
        <f aca="false" t="array" ref="AV17:AV17">SUMPRODUCT(($E$7:$E$78=AE17)*($U$7:$U$78)*($F$7:$F$78))+SUMPRODUCT(($H$7:$H$78=AE17)*($U$7:$U$78)*($G$7:$G$78))</f>
        <v>1</v>
      </c>
      <c r="AW17" s="46" t="n">
        <f aca="false" t="array" ref="AW17:AW17">SUMPRODUCT(($E$7:$E$78=AE17)*($U$7:$U$78)*($G$7:$G$78))+SUMPRODUCT(($H$7:$H$78=AE17)*($U$7:$U$78)*($F$7:$F$78))</f>
        <v>1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101</v>
      </c>
      <c r="BA17" s="46" t="n">
        <f aca="false">AZ17/AZ18</f>
        <v>0.990196078431373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1</v>
      </c>
      <c r="BD17" s="46" t="n">
        <f aca="false" t="array" ref="BD17:BD17">SUMPRODUCT(($E$7:$E$78=AE17)*($X$7:$X$78)*($F$7:$F$78))+SUMPRODUCT(($H$7:$H$78=AE17)*($X$7:$X$78)*($G$7:$G$78))</f>
        <v>1</v>
      </c>
      <c r="BE17" s="46" t="n">
        <f aca="false" t="array" ref="BE17:BE17">SUMPRODUCT(($E$7:$E$78=AE17)*($X$7:$X$78)*($G$7:$G$78))+SUMPRODUCT(($H$7:$H$78=AE17)*($X$7:$X$78)*($F$7:$F$78))</f>
        <v>1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101</v>
      </c>
      <c r="BI17" s="46" t="n">
        <f aca="false">BH17/BH18</f>
        <v>0.990196078431373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1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 t="n">
        <v>5</v>
      </c>
      <c r="G18" s="69" t="n">
        <v>1</v>
      </c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1</v>
      </c>
      <c r="L18" s="95" t="n">
        <f aca="false">VLOOKUP(4,AD14:AN17,3,FALSE())</f>
        <v>0</v>
      </c>
      <c r="M18" s="95" t="n">
        <f aca="false">VLOOKUP(4,AD14:AN17,4,FALSE())</f>
        <v>1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1 - 1</v>
      </c>
      <c r="P18" s="96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6.99019607843137</v>
      </c>
      <c r="AP18" s="42" t="n">
        <f aca="false">MAX(AP14:AP17)+1</f>
        <v>59902061.3047463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102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102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1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1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100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1</v>
      </c>
      <c r="V21" s="42" t="n">
        <f aca="false">U21*F21</f>
        <v>2</v>
      </c>
      <c r="W21" s="42" t="n">
        <f aca="false">U21*G21</f>
        <v>2</v>
      </c>
      <c r="X21" s="42" t="n">
        <f aca="false">IF(S21="",0,IF(VLOOKUP(E21,$AE$8:$AO$77,11,FALSE())=VLOOKUP(H21,$AE$8:$AO$77,11,FALSE()),1,0))</f>
        <v>1</v>
      </c>
      <c r="Y21" s="42" t="n">
        <f aca="false">X21*F21</f>
        <v>2</v>
      </c>
      <c r="Z21" s="42" t="n">
        <f aca="false">X21*G21</f>
        <v>2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 t="n">
        <v>1</v>
      </c>
      <c r="G22" s="69" t="n">
        <v>1</v>
      </c>
      <c r="H22" s="70" t="str">
        <f aca="false">AE45</f>
        <v>Egypt</v>
      </c>
      <c r="J22" s="80" t="str">
        <f aca="false">VLOOKUP(2,AD20:AN23,2,FALSE())</f>
        <v>Brazil</v>
      </c>
      <c r="K22" s="81" t="n">
        <f aca="false">L22+M22+N22</f>
        <v>1</v>
      </c>
      <c r="L22" s="81" t="n">
        <f aca="false">VLOOKUP(2,AD20:AN23,3,FALSE())</f>
        <v>0</v>
      </c>
      <c r="M22" s="81" t="n">
        <f aca="false">VLOOKUP(2,AD20:AN23,4,FALSE())</f>
        <v>1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1 - 1</v>
      </c>
      <c r="P22" s="82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100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/>
      <c r="G23" s="69"/>
      <c r="H23" s="70" t="str">
        <f aca="false">AE57</f>
        <v>Senegal</v>
      </c>
      <c r="J23" s="80" t="str">
        <f aca="false">VLOOKUP(3,AD20:AN23,2,FALSE())</f>
        <v>Morocco</v>
      </c>
      <c r="K23" s="81" t="n">
        <f aca="false">L23+M23+N23</f>
        <v>1</v>
      </c>
      <c r="L23" s="81" t="n">
        <f aca="false">VLOOKUP(3,AD20:AN23,3,FALSE())</f>
        <v>0</v>
      </c>
      <c r="M23" s="81" t="n">
        <f aca="false">VLOOKUP(3,AD20:AN23,4,FALSE())</f>
        <v>1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1 - 1</v>
      </c>
      <c r="P23" s="82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/>
      </c>
      <c r="T23" s="43" t="str">
        <f aca="false">IF(S23="","",IF(F23&lt;G23,H23&amp;"_win",IF(F23&gt;G23,H23&amp;"_lose",H23&amp;"_draw")))</f>
        <v/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str">
        <f aca="false">IF(OR(F23="",G23=""),"",IF(F23&gt;G23,1,IF(F23&lt;G23,-1,0)))</f>
        <v/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/>
      <c r="G24" s="69"/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1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1</v>
      </c>
      <c r="O24" s="95" t="str">
        <f aca="false">VLOOKUP(4,AD20:AN23,6,FALSE()) &amp; " - " &amp; VLOOKUP(4,AD20:AN23,7,FALSE())</f>
        <v>0 - 1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/>
      </c>
      <c r="T24" s="43" t="str">
        <f aca="false">IF(S24="","",IF(F24&lt;G24,H24&amp;"_win",IF(F24&gt;G24,H24&amp;"_lose",H24&amp;"_draw")))</f>
        <v/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str">
        <f aca="false">IF(OR(F24="",G24=""),"",IF(F24&gt;G24,1,IF(F24&lt;G24,-1,0)))</f>
        <v/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/>
      <c r="G25" s="69"/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/>
      </c>
      <c r="T25" s="43" t="str">
        <f aca="false">IF(S25="","",IF(F25&lt;G25,H25&amp;"_win",IF(F25&gt;G25,H25&amp;"_lose",H25&amp;"_draw")))</f>
        <v/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str">
        <f aca="false">IF(OR(F25="",G25=""),"",IF(F25&gt;G25,1,IF(F25&lt;G25,-1,0)))</f>
        <v/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2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/>
      <c r="G26" s="69"/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/>
      </c>
      <c r="T26" s="43" t="str">
        <f aca="false">IF(S26="","",IF(F26&lt;G26,H26&amp;"_win",IF(F26&gt;G26,H26&amp;"_lose",H26&amp;"_draw")))</f>
        <v/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str">
        <f aca="false">IF(OR(F26="",G26=""),"",IF(F26&gt;G26,1,IF(F26&lt;G26,-1,0)))</f>
        <v/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/>
      <c r="G28" s="69"/>
      <c r="H28" s="70" t="str">
        <f aca="false">AE75</f>
        <v>Croatia</v>
      </c>
      <c r="J28" s="80" t="str">
        <f aca="false">VLOOKUP(2,AD26:AN29,2,FALSE())</f>
        <v>Australia</v>
      </c>
      <c r="K28" s="81" t="n">
        <f aca="false">L28+M28+N28</f>
        <v>1</v>
      </c>
      <c r="L28" s="81" t="n">
        <f aca="false">VLOOKUP(2,AD26:AN29,3,FALSE())</f>
        <v>1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2 - 0</v>
      </c>
      <c r="P28" s="82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Turkey</v>
      </c>
      <c r="K29" s="81" t="n">
        <f aca="false">L29+M29+N29</f>
        <v>1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1</v>
      </c>
      <c r="O29" s="81" t="str">
        <f aca="false">VLOOKUP(3,AD26:AN29,6,FALSE()) &amp; " - " &amp; VLOOKUP(3,AD26:AN29,7,FALSE())</f>
        <v>0 - 2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100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1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7</v>
      </c>
      <c r="AJ32" s="42" t="n">
        <f aca="false">SUMIF($E$7:$E$78,$AE32,$G$7:$G$78) + SUMIF($H$7:$H$78,$AE32,$F$7:$F$78)</f>
        <v>1</v>
      </c>
      <c r="AL32" s="42" t="n">
        <f aca="false">AI32-AJ32</f>
        <v>6</v>
      </c>
      <c r="AM32" s="42" t="n">
        <f aca="false">AL32-AL36</f>
        <v>12</v>
      </c>
      <c r="AN32" s="42" t="n">
        <f aca="false">AF32*3+AG32</f>
        <v>3</v>
      </c>
      <c r="AO32" s="42" t="n">
        <f aca="false">AN32/AN36*10+BA32</f>
        <v>7.5</v>
      </c>
      <c r="AP32" s="42" t="n">
        <f aca="false">AO32*10000000+BI32*100+AM32/AM36*10+AI32/AI36*1++IF(AQ32=0,ROW(),AQ32)/2000000</f>
        <v>75000010.1066344</v>
      </c>
      <c r="AQ32" s="46" t="n">
        <f aca="false">VLOOKUP(AE32,db_fifarank,2,FALSE())</f>
        <v>1730.37</v>
      </c>
      <c r="AR32" s="45" t="n">
        <f aca="false">AP32/AP36</f>
        <v>0.999999986666669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100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1</v>
      </c>
      <c r="L33" s="76" t="n">
        <f aca="false">VLOOKUP(1,AD32:AN35,3,FALSE())</f>
        <v>1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7 - 1</v>
      </c>
      <c r="P33" s="77" t="n">
        <f aca="false">L33*3+M33</f>
        <v>3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0.125647325</v>
      </c>
      <c r="AQ33" s="46" t="n">
        <f aca="false">VLOOKUP(AE33,db_fifarank,2,FALSE())</f>
        <v>1294.65</v>
      </c>
      <c r="AR33" s="45" t="n">
        <f aca="false">AP33/AP36</f>
        <v>1.67529741857445E-009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Ivory Coast</v>
      </c>
      <c r="K34" s="81" t="n">
        <f aca="false">L34+M34+N34</f>
        <v>1</v>
      </c>
      <c r="L34" s="81" t="n">
        <f aca="false">VLOOKUP(2,AD32:AN35,3,FALSE())</f>
        <v>1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1 - 0</v>
      </c>
      <c r="P34" s="82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1</v>
      </c>
      <c r="AJ34" s="42" t="n">
        <f aca="false">SUMIF($E$7:$E$78,$AE34,$G$7:$G$78) + SUMIF($H$7:$H$78,$AE34,$F$7:$F$78)</f>
        <v>0</v>
      </c>
      <c r="AL34" s="42" t="n">
        <f aca="false">AI34-AJ34</f>
        <v>1</v>
      </c>
      <c r="AM34" s="42" t="n">
        <f aca="false">AL34-AL36</f>
        <v>7</v>
      </c>
      <c r="AN34" s="42" t="n">
        <f aca="false">AF34*3+AG34</f>
        <v>3</v>
      </c>
      <c r="AO34" s="42" t="n">
        <f aca="false">AN34/AN36*10+BA34</f>
        <v>7.5</v>
      </c>
      <c r="AP34" s="42" t="n">
        <f aca="false">AO34*10000000+BI34*100+AM34/AM36*10+AI34/AI36*1++IF(AQ34=0,ROW(),AQ34)/2000000</f>
        <v>75000005.5103819</v>
      </c>
      <c r="AQ34" s="46" t="n">
        <f aca="false">VLOOKUP(AE34,db_fifarank,2,FALSE())</f>
        <v>1532.98</v>
      </c>
      <c r="AR34" s="45" t="n">
        <f aca="false">AP34/AP36</f>
        <v>0.99999992538331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Ecuador</v>
      </c>
      <c r="K35" s="81" t="n">
        <f aca="false">L35+M35+N35</f>
        <v>1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1</v>
      </c>
      <c r="O35" s="81" t="str">
        <f aca="false">VLOOKUP(3,AD32:AN35,6,FALSE()) &amp; " - " &amp; VLOOKUP(3,AD32:AN35,7,FALSE())</f>
        <v>0 - 1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3.84695123615385</v>
      </c>
      <c r="AQ35" s="46" t="n">
        <f aca="false">VLOOKUP(AE35,db_fifarank,2,FALSE())</f>
        <v>1594.78</v>
      </c>
      <c r="AR35" s="45" t="n">
        <f aca="false">AP35/AP36</f>
        <v>5.12926755528647E-008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1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1</v>
      </c>
      <c r="O36" s="95" t="str">
        <f aca="false">VLOOKUP(4,AD32:AN35,6,FALSE()) &amp; " - " &amp; VLOOKUP(4,AD32:AN35,7,FALSE())</f>
        <v>1 - 7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2</v>
      </c>
      <c r="AG36" s="42" t="n">
        <f aca="false">MAX(AG32:AG35)-MIN(AG32:AG35)+1</f>
        <v>1</v>
      </c>
      <c r="AH36" s="42" t="n">
        <f aca="false">MAX(AH32:AH35)-MIN(AH32:AH35)+1</f>
        <v>2</v>
      </c>
      <c r="AI36" s="42" t="n">
        <f aca="false">MAX(AI32:AI35)+1</f>
        <v>8</v>
      </c>
      <c r="AL36" s="42" t="n">
        <f aca="false">MIN(AL32:AL35)</f>
        <v>-6</v>
      </c>
      <c r="AM36" s="42" t="n">
        <f aca="false">MAX(AM32:AM35)+1</f>
        <v>13</v>
      </c>
      <c r="AN36" s="42" t="n">
        <f aca="false">MAX(AN32:AN35)+1</f>
        <v>4</v>
      </c>
      <c r="AO36" s="42" t="n">
        <f aca="false">MAX(AO32:AO35)+1</f>
        <v>8.5</v>
      </c>
      <c r="AP36" s="42" t="n">
        <f aca="false">MAX(AP32:AP35)+1</f>
        <v>75000011.1066344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100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2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2</v>
      </c>
      <c r="AJ38" s="42" t="n">
        <f aca="false">SUMIF($E$7:$E$78,$AE38,$G$7:$G$78) + SUMIF($H$7:$H$78,$AE38,$F$7:$F$78)</f>
        <v>2</v>
      </c>
      <c r="AL38" s="42" t="n">
        <f aca="false">AI38-AJ38</f>
        <v>0</v>
      </c>
      <c r="AM38" s="42" t="n">
        <f aca="false">AL38-AL42</f>
        <v>4</v>
      </c>
      <c r="AN38" s="42" t="n">
        <f aca="false">AF38*3+AG38</f>
        <v>1</v>
      </c>
      <c r="AO38" s="42" t="n">
        <f aca="false">AN38/AN42*10+BA38</f>
        <v>3.48064516129032</v>
      </c>
      <c r="AP38" s="42" t="n">
        <f aca="false">AO38*10000000+BI38*100+AM38/AM42*10+AI38/AI42*1++IF(AQ38=0,ROW(),AQ38)/2000000</f>
        <v>34806554.4560761</v>
      </c>
      <c r="AQ38" s="46" t="n">
        <f aca="false">VLOOKUP(AE38,db_fifarank,2,FALSE())</f>
        <v>1757.87</v>
      </c>
      <c r="AR38" s="45" t="n">
        <f aca="false">AP38/AP42</f>
        <v>0.464087326395695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3" t="n">
        <v>82</v>
      </c>
      <c r="BL38" s="84" t="str">
        <f aca="false">AS44</f>
        <v>1G</v>
      </c>
      <c r="BM38" s="85"/>
      <c r="BN38" s="86"/>
      <c r="BO38" s="87"/>
      <c r="BP38" s="100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Sweden</v>
      </c>
      <c r="K39" s="76" t="n">
        <f aca="false">L39+M39+N39</f>
        <v>1</v>
      </c>
      <c r="L39" s="76" t="n">
        <f aca="false">VLOOKUP(1,AD38:AN41,3,FALSE())</f>
        <v>1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5 - 1</v>
      </c>
      <c r="P39" s="77" t="n">
        <f aca="false">L39*3+M39</f>
        <v>3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3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2</v>
      </c>
      <c r="AJ39" s="42" t="n">
        <f aca="false">SUMIF($E$7:$E$78,$AE39,$G$7:$G$78) + SUMIF($H$7:$H$78,$AE39,$F$7:$F$78)</f>
        <v>2</v>
      </c>
      <c r="AL39" s="42" t="n">
        <f aca="false">AI39-AJ39</f>
        <v>0</v>
      </c>
      <c r="AM39" s="42" t="n">
        <f aca="false">AL39-AL42</f>
        <v>4</v>
      </c>
      <c r="AN39" s="42" t="n">
        <f aca="false">AF39*3+AG39</f>
        <v>1</v>
      </c>
      <c r="AO39" s="42" t="n">
        <f aca="false">AN39/AN42*10+BA39</f>
        <v>3.48064516129032</v>
      </c>
      <c r="AP39" s="42" t="n">
        <f aca="false">AO39*10000000+BI39*100+AM39/AM42*10+AI39/AI42*1++IF(AQ39=0,ROW(),AQ39)/2000000</f>
        <v>34806554.4560274</v>
      </c>
      <c r="AQ39" s="46" t="n">
        <f aca="false">VLOOKUP(AE39,db_fifarank,2,FALSE())</f>
        <v>1660.43</v>
      </c>
      <c r="AR39" s="45" t="n">
        <f aca="false">AP39/AP42</f>
        <v>0.464087326395046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Netherlands</v>
      </c>
      <c r="K40" s="81" t="n">
        <f aca="false">L40+M40+N40</f>
        <v>1</v>
      </c>
      <c r="L40" s="81" t="n">
        <f aca="false">VLOOKUP(2,AD38:AN41,3,FALSE())</f>
        <v>0</v>
      </c>
      <c r="M40" s="81" t="n">
        <f aca="false">VLOOKUP(2,AD38:AN41,4,FALSE())</f>
        <v>1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2 - 2</v>
      </c>
      <c r="P40" s="82" t="n">
        <f aca="false">L40*3+M40</f>
        <v>1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1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5</v>
      </c>
      <c r="AJ40" s="42" t="n">
        <f aca="false">SUMIF($E$7:$E$78,$AE40,$G$7:$G$78) + SUMIF($H$7:$H$78,$AE40,$F$7:$F$78)</f>
        <v>1</v>
      </c>
      <c r="AL40" s="42" t="n">
        <f aca="false">AI40-AJ40</f>
        <v>4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7.5</v>
      </c>
      <c r="AP40" s="42" t="n">
        <f aca="false">AO40*10000000+BI40*100+AM40/AM42*10+AI40/AI42*1++IF(AQ40=0,ROW(),AQ40)/2000000</f>
        <v>75000009.7229796</v>
      </c>
      <c r="AQ40" s="46" t="n">
        <f aca="false">VLOOKUP(AE40,db_fifarank,2,FALSE())</f>
        <v>1514.77</v>
      </c>
      <c r="AR40" s="45" t="n">
        <f aca="false">AP40/AP42</f>
        <v>0.999999986666669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Japan</v>
      </c>
      <c r="K41" s="81" t="n">
        <f aca="false">L41+M41+N41</f>
        <v>1</v>
      </c>
      <c r="L41" s="81" t="n">
        <f aca="false">VLOOKUP(3,AD38:AN41,3,FALSE())</f>
        <v>0</v>
      </c>
      <c r="M41" s="81" t="n">
        <f aca="false">VLOOKUP(3,AD38:AN41,4,FALSE())</f>
        <v>1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2 - 2</v>
      </c>
      <c r="P41" s="82" t="n">
        <f aca="false">L41*3+M41</f>
        <v>1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1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5</v>
      </c>
      <c r="AL41" s="42" t="n">
        <f aca="false">AI41-AJ41</f>
        <v>-4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0.167408191666667</v>
      </c>
      <c r="AQ41" s="46" t="n">
        <f aca="false">VLOOKUP(AE41,db_fifarank,2,FALSE())</f>
        <v>1483.05</v>
      </c>
      <c r="AR41" s="45" t="n">
        <f aca="false">AP41/AP42</f>
        <v>2.23210890309078E-009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1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1</v>
      </c>
      <c r="O42" s="95" t="str">
        <f aca="false">VLOOKUP(4,AD38:AN41,6,FALSE()) &amp; " - " &amp; VLOOKUP(4,AD38:AN41,7,FALSE())</f>
        <v>1 - 5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2</v>
      </c>
      <c r="AI42" s="42" t="n">
        <f aca="false">MAX(AI38:AI41)+1</f>
        <v>6</v>
      </c>
      <c r="AL42" s="42" t="n">
        <f aca="false">MIN(AL38:AL41)</f>
        <v>-4</v>
      </c>
      <c r="AM42" s="42" t="n">
        <f aca="false">MAX(AM38:AM41)+1</f>
        <v>9</v>
      </c>
      <c r="AN42" s="42" t="n">
        <f aca="false">MAX(AN38:AN41)+1</f>
        <v>4</v>
      </c>
      <c r="AO42" s="42" t="n">
        <f aca="false">MAX(AO38:AO41)+1</f>
        <v>8.5</v>
      </c>
      <c r="AP42" s="42" t="n">
        <f aca="false">MAX(AP38:AP41)+1</f>
        <v>75000010.7229796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1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1</v>
      </c>
      <c r="AO44" s="42" t="n">
        <f aca="false">AN44/AN48*10+BA44</f>
        <v>5.98529411764706</v>
      </c>
      <c r="AP44" s="42" t="n">
        <f aca="false">AO44*10000000+BI44*100+AM44/AM48*10+AI44/AI48*1++IF(AQ44=0,ROW(),AQ44)/2000000</f>
        <v>59853040.040083</v>
      </c>
      <c r="AQ44" s="46" t="n">
        <f aca="false">VLOOKUP(AE44,db_fifarank,2,FALSE())</f>
        <v>1734.71</v>
      </c>
      <c r="AR44" s="45" t="n">
        <f aca="false">AP44/AP48</f>
        <v>0.999181640329085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100.5</v>
      </c>
      <c r="BA44" s="46" t="n">
        <f aca="false">AZ44/AZ48</f>
        <v>0.985294117647059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100.5</v>
      </c>
      <c r="BI44" s="46" t="n">
        <f aca="false">BH44/BH48</f>
        <v>0.985294117647059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Iran</v>
      </c>
      <c r="K45" s="76" t="n">
        <f aca="false">L45+M45+N45</f>
        <v>1</v>
      </c>
      <c r="L45" s="76" t="n">
        <f aca="false">VLOOKUP(1,AD44:AN47,3,FALSE())</f>
        <v>0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2 - 2</v>
      </c>
      <c r="P45" s="77" t="n">
        <f aca="false">L45*3+M45</f>
        <v>1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4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1</v>
      </c>
      <c r="AJ45" s="42" t="n">
        <f aca="false">SUMIF($E$7:$E$78,$AE45,$G$7:$G$78) + SUMIF($H$7:$H$78,$AE45,$F$7:$F$78)</f>
        <v>1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1</v>
      </c>
      <c r="AO45" s="42" t="n">
        <f aca="false">AN45/AN48*10+BA45</f>
        <v>5.98529411764706</v>
      </c>
      <c r="AP45" s="42" t="n">
        <f aca="false">AO45*10000000+BI45*100+AM45/AM48*10+AI45/AI48*1++IF(AQ45=0,ROW(),AQ45)/2000000</f>
        <v>59853040.0399973</v>
      </c>
      <c r="AQ45" s="46" t="n">
        <f aca="false">VLOOKUP(AE45,db_fifarank,2,FALSE())</f>
        <v>1563.24</v>
      </c>
      <c r="AR45" s="45" t="n">
        <f aca="false">AP45/AP48</f>
        <v>0.999181640327654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100.5</v>
      </c>
      <c r="BA45" s="46" t="n">
        <f aca="false">AZ45/AZ48</f>
        <v>0.985294117647059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100.5</v>
      </c>
      <c r="BI45" s="46" t="n">
        <f aca="false">BH45/BH48</f>
        <v>0.985294117647059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New Zealand</v>
      </c>
      <c r="K46" s="81" t="n">
        <f aca="false">L46+M46+N46</f>
        <v>1</v>
      </c>
      <c r="L46" s="81" t="n">
        <f aca="false">VLOOKUP(2,AD44:AN47,3,FALSE())</f>
        <v>0</v>
      </c>
      <c r="M46" s="81" t="n">
        <f aca="false">VLOOKUP(2,AD44:AN47,4,FALSE())</f>
        <v>1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2 - 2</v>
      </c>
      <c r="P46" s="82" t="n">
        <f aca="false">L46*3+M46</f>
        <v>1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1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1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1</v>
      </c>
      <c r="AO46" s="42" t="n">
        <f aca="false">AN46/AN48*10+BA46</f>
        <v>5.99019607843137</v>
      </c>
      <c r="AP46" s="42" t="n">
        <f aca="false">AO46*10000000+BI46*100+AM46/AM48*10+AI46/AI48*1++IF(AQ46=0,ROW(),AQ46)/2000000</f>
        <v>59902060.4713959</v>
      </c>
      <c r="AQ46" s="46" t="n">
        <f aca="false">VLOOKUP(AE46,db_fifarank,2,FALSE())</f>
        <v>1615.3</v>
      </c>
      <c r="AR46" s="45" t="n">
        <f aca="false">AP46/AP48</f>
        <v>0.999999983306084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2</v>
      </c>
      <c r="AW46" s="46" t="n">
        <f aca="false" t="array" ref="AW46:AW46">SUMPRODUCT(($E$7:$E$78=AE46)*($U$7:$U$78)*($G$7:$G$78))+SUMPRODUCT(($H$7:$H$78=AE46)*($U$7:$U$78)*($F$7:$F$78))</f>
        <v>2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101</v>
      </c>
      <c r="BA46" s="46" t="n">
        <f aca="false">AZ46/AZ48</f>
        <v>0.990196078431373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2</v>
      </c>
      <c r="BE46" s="46" t="n">
        <f aca="false" t="array" ref="BE46:BE46">SUMPRODUCT(($E$7:$E$78=AE46)*($X$7:$X$78)*($G$7:$G$78))+SUMPRODUCT(($H$7:$H$78=AE46)*($X$7:$X$78)*($F$7:$F$78))</f>
        <v>2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101</v>
      </c>
      <c r="BI46" s="46" t="n">
        <f aca="false">BH46/BH48</f>
        <v>0.990196078431373</v>
      </c>
      <c r="BK46" s="83" t="n">
        <v>78</v>
      </c>
      <c r="BL46" s="84" t="str">
        <f aca="false">AS33</f>
        <v>2E</v>
      </c>
      <c r="BM46" s="85"/>
      <c r="BN46" s="86"/>
      <c r="BO46" s="87"/>
      <c r="BP46" s="100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Belgium</v>
      </c>
      <c r="K47" s="81" t="n">
        <f aca="false">L47+M47+N47</f>
        <v>1</v>
      </c>
      <c r="L47" s="81" t="n">
        <f aca="false">VLOOKUP(3,AD44:AN47,3,FALSE())</f>
        <v>0</v>
      </c>
      <c r="M47" s="81" t="n">
        <f aca="false">VLOOKUP(3,AD44:AN47,4,FALSE())</f>
        <v>1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1 - 1</v>
      </c>
      <c r="P47" s="82" t="n">
        <f aca="false">L47*3+M47</f>
        <v>1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2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2</v>
      </c>
      <c r="AJ47" s="42" t="n">
        <f aca="false">SUMIF($E$7:$E$78,$AE47,$G$7:$G$78) + SUMIF($H$7:$H$78,$AE47,$F$7:$F$78)</f>
        <v>2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5.99019607843137</v>
      </c>
      <c r="AP47" s="42" t="n">
        <f aca="false">AO47*10000000+BI47*100+AM47/AM48*10+AI47/AI48*1++IF(AQ47=0,ROW(),AQ47)/2000000</f>
        <v>59902060.471229</v>
      </c>
      <c r="AQ47" s="46" t="n">
        <f aca="false">VLOOKUP(AE47,db_fifarank,2,FALSE())</f>
        <v>1281.57</v>
      </c>
      <c r="AR47" s="45" t="n">
        <f aca="false">AP47/AP48</f>
        <v>0.999999983303298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1</v>
      </c>
      <c r="AV47" s="46" t="n">
        <f aca="false" t="array" ref="AV47:AV47">SUMPRODUCT(($E$7:$E$78=AE47)*($U$7:$U$78)*($F$7:$F$78))+SUMPRODUCT(($H$7:$H$78=AE47)*($U$7:$U$78)*($G$7:$G$78))</f>
        <v>2</v>
      </c>
      <c r="AW47" s="46" t="n">
        <f aca="false" t="array" ref="AW47:AW47">SUMPRODUCT(($E$7:$E$78=AE47)*($U$7:$U$78)*($G$7:$G$78))+SUMPRODUCT(($H$7:$H$78=AE47)*($U$7:$U$78)*($F$7:$F$78))</f>
        <v>2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101</v>
      </c>
      <c r="BA47" s="46" t="n">
        <f aca="false">AZ47/AZ48</f>
        <v>0.990196078431373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1</v>
      </c>
      <c r="BD47" s="46" t="n">
        <f aca="false" t="array" ref="BD47:BD47">SUMPRODUCT(($E$7:$E$78=AE47)*($X$7:$X$78)*($F$7:$F$78))+SUMPRODUCT(($H$7:$H$78=AE47)*($X$7:$X$78)*($G$7:$G$78))</f>
        <v>2</v>
      </c>
      <c r="BE47" s="46" t="n">
        <f aca="false" t="array" ref="BE47:BE47">SUMPRODUCT(($E$7:$E$78=AE47)*($X$7:$X$78)*($G$7:$G$78))+SUMPRODUCT(($H$7:$H$78=AE47)*($X$7:$X$78)*($F$7:$F$78))</f>
        <v>2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101</v>
      </c>
      <c r="BI47" s="46" t="n">
        <f aca="false">BH47/BH48</f>
        <v>0.990196078431373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Egypt</v>
      </c>
      <c r="K48" s="95" t="n">
        <f aca="false">L48+M48+N48</f>
        <v>1</v>
      </c>
      <c r="L48" s="95" t="n">
        <f aca="false">VLOOKUP(4,AD44:AN47,3,FALSE())</f>
        <v>0</v>
      </c>
      <c r="M48" s="95" t="n">
        <f aca="false">VLOOKUP(4,AD44:AN47,4,FALSE())</f>
        <v>1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1 - 1</v>
      </c>
      <c r="P48" s="96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3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2</v>
      </c>
      <c r="AO48" s="42" t="n">
        <f aca="false">MAX(AO44:AO47)+1</f>
        <v>6.99019607843137</v>
      </c>
      <c r="AP48" s="42" t="n">
        <f aca="false">MAX(AP44:AP47)+1</f>
        <v>59902061.4713959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102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102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3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1</v>
      </c>
      <c r="AO50" s="42" t="n">
        <f aca="false">AN50/AN54*10+BA50</f>
        <v>5.98522167487685</v>
      </c>
      <c r="AP50" s="42" t="n">
        <f aca="false">AO50*10000000+BI50*100+AM50/AM54*10+AI50/AI54*1++IF(AQ50=0,ROW(),AQ50)/2000000</f>
        <v>59852315.2718742</v>
      </c>
      <c r="AQ50" s="46" t="n">
        <f aca="false">VLOOKUP(AE50,db_fifarank,2,FALSE())</f>
        <v>1876.4</v>
      </c>
      <c r="AR50" s="45" t="n">
        <f aca="false">AP50/AP54</f>
        <v>0.999177599695843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1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100</v>
      </c>
      <c r="BA50" s="46" t="n">
        <f aca="false">AZ50/AZ54</f>
        <v>0.985221674876847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1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100</v>
      </c>
      <c r="BI50" s="46" t="n">
        <f aca="false">BH50/BH54</f>
        <v>0.985221674876847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Uruguay</v>
      </c>
      <c r="K51" s="76" t="n">
        <f aca="false">L51+M51+N51</f>
        <v>1</v>
      </c>
      <c r="L51" s="76" t="n">
        <f aca="false">VLOOKUP(1,AD50:AN53,3,FALSE())</f>
        <v>0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1 - 1</v>
      </c>
      <c r="P51" s="77" t="n">
        <f aca="false">L51*3+M51</f>
        <v>1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1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1</v>
      </c>
      <c r="AO51" s="42" t="n">
        <f aca="false">AN51/AN54*10+BA51</f>
        <v>5.98522167487685</v>
      </c>
      <c r="AP51" s="42" t="n">
        <f aca="false">AO51*10000000+BI51*100+AM51/AM54*10+AI51/AI54*1++IF(AQ51=0,ROW(),AQ51)/2000000</f>
        <v>59852315.271619</v>
      </c>
      <c r="AQ51" s="46" t="n">
        <f aca="false">VLOOKUP(AE51,db_fifarank,2,FALSE())</f>
        <v>1366.13</v>
      </c>
      <c r="AR51" s="45" t="n">
        <f aca="false">AP51/AP54</f>
        <v>0.999177599691583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100</v>
      </c>
      <c r="BA51" s="46" t="n">
        <f aca="false">AZ51/AZ54</f>
        <v>0.985221674876847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100</v>
      </c>
      <c r="BI51" s="46" t="n">
        <f aca="false">BH51/BH54</f>
        <v>0.985221674876847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Saudi Arabia</v>
      </c>
      <c r="K52" s="81" t="n">
        <f aca="false">L52+M52+N52</f>
        <v>1</v>
      </c>
      <c r="L52" s="81" t="n">
        <f aca="false">VLOOKUP(2,AD50:AN53,3,FALSE())</f>
        <v>0</v>
      </c>
      <c r="M52" s="81" t="n">
        <f aca="false">VLOOKUP(2,AD50:AN53,4,FALSE())</f>
        <v>1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1 - 1</v>
      </c>
      <c r="P52" s="82" t="n">
        <f aca="false">L52*3+M52</f>
        <v>1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2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1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5.99014778325123</v>
      </c>
      <c r="AP52" s="42" t="n">
        <f aca="false">AO52*10000000+BI52*100+AM52/AM54*10+AI52/AI54*1++IF(AQ52=0,ROW(),AQ52)/2000000</f>
        <v>59901577.3480014</v>
      </c>
      <c r="AQ52" s="46" t="n">
        <f aca="false">VLOOKUP(AE52,db_fifarank,2,FALSE())</f>
        <v>1421.43</v>
      </c>
      <c r="AR52" s="45" t="n">
        <f aca="false">AP52/AP54</f>
        <v>0.999999983303849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100.5</v>
      </c>
      <c r="BA52" s="46" t="n">
        <f aca="false">AZ52/AZ54</f>
        <v>0.990147783251232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100.5</v>
      </c>
      <c r="BI52" s="46" t="n">
        <f aca="false">BH52/BH54</f>
        <v>0.990147783251232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100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Spain</v>
      </c>
      <c r="K53" s="81" t="n">
        <f aca="false">L53+M53+N53</f>
        <v>1</v>
      </c>
      <c r="L53" s="81" t="n">
        <f aca="false">VLOOKUP(3,AD50:AN53,3,FALSE())</f>
        <v>0</v>
      </c>
      <c r="M53" s="81" t="n">
        <f aca="false">VLOOKUP(3,AD50:AN53,4,FALSE())</f>
        <v>1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1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1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1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1</v>
      </c>
      <c r="AJ53" s="42" t="n">
        <f aca="false">SUMIF($E$7:$E$78,$AE53,$G$7:$G$78) + SUMIF($H$7:$H$78,$AE53,$F$7:$F$78)</f>
        <v>1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1</v>
      </c>
      <c r="AO53" s="42" t="n">
        <f aca="false">AN53/AN54*10+BA53</f>
        <v>5.99014778325123</v>
      </c>
      <c r="AP53" s="42" t="n">
        <f aca="false">AO53*10000000+BI53*100+AM53/AM54*10+AI53/AI54*1++IF(AQ53=0,ROW(),AQ53)/2000000</f>
        <v>59901577.3481272</v>
      </c>
      <c r="AQ53" s="46" t="n">
        <f aca="false">VLOOKUP(AE53,db_fifarank,2,FALSE())</f>
        <v>1673.07</v>
      </c>
      <c r="AR53" s="45" t="n">
        <f aca="false">AP53/AP54</f>
        <v>0.999999983305949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100.5</v>
      </c>
      <c r="BA53" s="46" t="n">
        <f aca="false">AZ53/AZ54</f>
        <v>0.990147783251232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100.5</v>
      </c>
      <c r="BI53" s="46" t="n">
        <f aca="false">BH53/BH54</f>
        <v>0.990147783251232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1</v>
      </c>
      <c r="L54" s="95" t="n">
        <f aca="false">VLOOKUP(4,AD50:AN53,3,FALSE())</f>
        <v>0</v>
      </c>
      <c r="M54" s="95" t="n">
        <f aca="false">VLOOKUP(4,AD50:AN53,4,FALSE())</f>
        <v>1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2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2</v>
      </c>
      <c r="AO54" s="42" t="n">
        <f aca="false">MAX(AO50:AO53)+1</f>
        <v>6.99014778325123</v>
      </c>
      <c r="AP54" s="42" t="n">
        <f aca="false">MAX(AP50:AP53)+1</f>
        <v>59901578.3481272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101.5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101.5</v>
      </c>
      <c r="BK54" s="83" t="n">
        <v>80</v>
      </c>
      <c r="BL54" s="84" t="str">
        <f aca="false">AS74</f>
        <v>1L</v>
      </c>
      <c r="BM54" s="85"/>
      <c r="BN54" s="86"/>
      <c r="BO54" s="87"/>
      <c r="BP54" s="100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100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0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0</v>
      </c>
      <c r="AJ56" s="42" t="n">
        <f aca="false">SUMIF($E$7:$E$78,$AE56,$G$7:$G$78) + SUMIF($H$7:$H$78,$AE56,$F$7:$F$78)</f>
        <v>0</v>
      </c>
      <c r="AL56" s="42" t="n">
        <f aca="false">AI56-AJ56</f>
        <v>0</v>
      </c>
      <c r="AM56" s="42" t="n">
        <f aca="false">AL56-AL60</f>
        <v>0</v>
      </c>
      <c r="AN56" s="42" t="n">
        <f aca="false">AF56*3+AG56</f>
        <v>0</v>
      </c>
      <c r="AO56" s="42" t="n">
        <f aca="false">AN56/AN60*10+BA56</f>
        <v>0</v>
      </c>
      <c r="AP56" s="42" t="n">
        <f aca="false">AO56*10000000+BI56*100+AM56/AM60*10+AI56/AI60*1++IF(AQ56=0,ROW(),AQ56)/2000000</f>
        <v>0.00093866</v>
      </c>
      <c r="AQ56" s="46" t="n">
        <f aca="false">VLOOKUP(AE56,db_fifarank,2,FALSE())</f>
        <v>1877.32</v>
      </c>
      <c r="AR56" s="45" t="n">
        <f aca="false">AP56/AP60</f>
        <v>0.000937779743665811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0</v>
      </c>
      <c r="L57" s="76" t="n">
        <f aca="false">VLOOKUP(1,AD56:AN59,3,FALSE())</f>
        <v>0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0 - 0</v>
      </c>
      <c r="P57" s="77" t="n">
        <f aca="false">L57*3+M57</f>
        <v>0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2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0</v>
      </c>
      <c r="AI57" s="42" t="n">
        <f aca="false">SUMIF($E$7:$E$78,$AE57,$F$7:$F$78) + SUMIF($H$7:$H$78,$AE57,$G$7:$G$78)</f>
        <v>0</v>
      </c>
      <c r="AJ57" s="42" t="n">
        <f aca="false">SUMIF($E$7:$E$78,$AE57,$G$7:$G$78) + SUMIF($H$7:$H$78,$AE57,$F$7:$F$78)</f>
        <v>0</v>
      </c>
      <c r="AL57" s="42" t="n">
        <f aca="false">AI57-AJ57</f>
        <v>0</v>
      </c>
      <c r="AM57" s="42" t="n">
        <f aca="false">AL57-AL60</f>
        <v>0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0.000844495</v>
      </c>
      <c r="AQ57" s="46" t="n">
        <f aca="false">VLOOKUP(AE57,db_fifarank,2,FALSE())</f>
        <v>1688.99</v>
      </c>
      <c r="AR57" s="45" t="n">
        <f aca="false">AP57/AP60</f>
        <v>0.000843703049695373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2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4"/>
      <c r="J58" s="80" t="str">
        <f aca="false">VLOOKUP(2,AD56:AN59,2,FALSE())</f>
        <v>Senegal</v>
      </c>
      <c r="K58" s="81" t="n">
        <f aca="false">L58+M58+N58</f>
        <v>0</v>
      </c>
      <c r="L58" s="81" t="n">
        <f aca="false">VLOOKUP(2,AD56:AN59,3,FALSE())</f>
        <v>0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0 - 0</v>
      </c>
      <c r="P58" s="82" t="n">
        <f aca="false">L58*3+M58</f>
        <v>0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0</v>
      </c>
      <c r="AI58" s="42" t="n">
        <f aca="false">SUMIF($E$7:$E$78,$AE58,$F$7:$F$78) + SUMIF($H$7:$H$78,$AE58,$G$7:$G$78)</f>
        <v>0</v>
      </c>
      <c r="AJ58" s="42" t="n">
        <f aca="false">SUMIF($E$7:$E$78,$AE58,$G$7:$G$78) + SUMIF($H$7:$H$78,$AE58,$F$7:$F$78)</f>
        <v>0</v>
      </c>
      <c r="AL58" s="42" t="n">
        <f aca="false">AI58-AJ58</f>
        <v>0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0.00072357</v>
      </c>
      <c r="AQ58" s="46" t="n">
        <f aca="false">VLOOKUP(AE58,db_fifarank,2,FALSE())</f>
        <v>1447.14</v>
      </c>
      <c r="AR58" s="45" t="n">
        <f aca="false">AP58/AP60</f>
        <v>0.000722891450710876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4"/>
      <c r="J59" s="80" t="str">
        <f aca="false">VLOOKUP(3,AD56:AN59,2,FALSE())</f>
        <v>Norway</v>
      </c>
      <c r="K59" s="81" t="n">
        <f aca="false">L59+M59+N59</f>
        <v>0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0</v>
      </c>
      <c r="O59" s="81" t="str">
        <f aca="false">VLOOKUP(3,AD56:AN59,6,FALSE()) &amp; " - " &amp; VLOOKUP(3,AD56:AN59,7,FALSE())</f>
        <v>0 - 0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3</v>
      </c>
      <c r="AE59" s="44" t="str">
        <f aca="false">VLOOKUP("Norway",T,lang,FALSE())</f>
        <v>Norway</v>
      </c>
      <c r="AF59" s="42" t="n">
        <f aca="false">COUNTIF($S$7:$T$78,"=" &amp; AE59 &amp; "_win")</f>
        <v>0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0</v>
      </c>
      <c r="AJ59" s="42" t="n">
        <f aca="false">SUMIF($E$7:$E$78,$AE59,$G$7:$G$78) + SUMIF($H$7:$H$78,$AE59,$F$7:$F$78)</f>
        <v>0</v>
      </c>
      <c r="AL59" s="42" t="n">
        <f aca="false">AI59-AJ59</f>
        <v>0</v>
      </c>
      <c r="AM59" s="42" t="n">
        <f aca="false">AL59-AL60</f>
        <v>0</v>
      </c>
      <c r="AN59" s="42" t="n">
        <f aca="false">AF59*3+AG59</f>
        <v>0</v>
      </c>
      <c r="AO59" s="42" t="n">
        <f aca="false">AN59/AN60*10+BA59</f>
        <v>0</v>
      </c>
      <c r="AP59" s="42" t="n">
        <f aca="false">AO59*10000000+BI59*100+AM59/AM60*10+AI59/AI60*1++IF(AQ59=0,ROW(),AQ59)/2000000</f>
        <v>0.00077547</v>
      </c>
      <c r="AQ59" s="46" t="n">
        <f aca="false">VLOOKUP(AE59,db_fifarank,2,FALSE())</f>
        <v>1550.94</v>
      </c>
      <c r="AR59" s="45" t="n">
        <f aca="false">AP59/AP60</f>
        <v>0.000774742779942179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4"/>
      <c r="J60" s="94" t="str">
        <f aca="false">VLOOKUP(4,AD56:AN59,2,FALSE())</f>
        <v>Iraq</v>
      </c>
      <c r="K60" s="95" t="n">
        <f aca="false">L60+M60+N60</f>
        <v>0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0</v>
      </c>
      <c r="O60" s="95" t="str">
        <f aca="false">VLOOKUP(4,AD56:AN59,6,FALSE()) &amp; " - " &amp; VLOOKUP(4,AD56:AN59,7,FALSE())</f>
        <v>0 - 0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1</v>
      </c>
      <c r="AG60" s="42" t="n">
        <f aca="false">MAX(AG56:AG59)-MIN(AG56:AG59)+1</f>
        <v>1</v>
      </c>
      <c r="AH60" s="42" t="n">
        <f aca="false">MAX(AH56:AH59)-MIN(AH56:AH59)+1</f>
        <v>1</v>
      </c>
      <c r="AI60" s="42" t="n">
        <f aca="false">MAX(AI56:AI59)+1</f>
        <v>1</v>
      </c>
      <c r="AL60" s="42" t="n">
        <f aca="false">MIN(AL56:AL59)</f>
        <v>0</v>
      </c>
      <c r="AM60" s="42" t="n">
        <f aca="false">MAX(AM56:AM59)+1</f>
        <v>1</v>
      </c>
      <c r="AN60" s="42" t="n">
        <f aca="false">MAX(AN56:AN59)+1</f>
        <v>1</v>
      </c>
      <c r="AO60" s="42" t="n">
        <f aca="false">MAX(AO56:AO59)+1</f>
        <v>1</v>
      </c>
      <c r="AP60" s="42" t="n">
        <f aca="false">MAX(AP56:AP59)+1</f>
        <v>1.00093866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0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0</v>
      </c>
      <c r="AJ62" s="42" t="n">
        <f aca="false">SUMIF($E$7:$E$78,$AE62,$G$7:$G$78) + SUMIF($H$7:$H$78,$AE62,$F$7:$F$78)</f>
        <v>0</v>
      </c>
      <c r="AL62" s="42" t="n">
        <f aca="false">AI62-AJ62</f>
        <v>0</v>
      </c>
      <c r="AM62" s="42" t="n">
        <f aca="false">AL62-AL66</f>
        <v>0</v>
      </c>
      <c r="AN62" s="42" t="n">
        <f aca="false">AF62*3+AG62</f>
        <v>0</v>
      </c>
      <c r="AO62" s="42" t="n">
        <f aca="false">AN62/AN66*10+BA62</f>
        <v>0</v>
      </c>
      <c r="AP62" s="42" t="n">
        <f aca="false">AO62*10000000+BI62*100+AM62/AM66*10+AI62/AI66*1++IF(AQ62=0,ROW(),AQ62)/2000000</f>
        <v>0.00093741</v>
      </c>
      <c r="AQ62" s="46" t="n">
        <f aca="false">VLOOKUP(AE62,db_fifarank,2,FALSE())</f>
        <v>1874.82</v>
      </c>
      <c r="AR62" s="45" t="n">
        <f aca="false">AP62/AP66</f>
        <v>0.000936532085457771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100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0</v>
      </c>
      <c r="L63" s="76" t="n">
        <f aca="false">VLOOKUP(1,AD62:AN65,3,FALSE())</f>
        <v>0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0 - 0</v>
      </c>
      <c r="P63" s="77" t="n">
        <f aca="false">L63*3+M63</f>
        <v>0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0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0</v>
      </c>
      <c r="AL63" s="42" t="n">
        <f aca="false">AI63-AJ63</f>
        <v>0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0.000781397510160001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4"/>
      <c r="J64" s="80" t="str">
        <f aca="false">VLOOKUP(2,AD62:AN65,2,FALSE())</f>
        <v>Austria</v>
      </c>
      <c r="K64" s="81" t="n">
        <f aca="false">L64+M64+N64</f>
        <v>0</v>
      </c>
      <c r="L64" s="81" t="n">
        <f aca="false">VLOOKUP(2,AD62:AN65,3,FALSE())</f>
        <v>0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0 - 0</v>
      </c>
      <c r="P64" s="82" t="n">
        <f aca="false">L64*3+M64</f>
        <v>0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0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0</v>
      </c>
      <c r="AJ64" s="42" t="n">
        <f aca="false">SUMIF($E$7:$E$78,$AE64,$G$7:$G$78) + SUMIF($H$7:$H$78,$AE64,$F$7:$F$78)</f>
        <v>0</v>
      </c>
      <c r="AL64" s="42" t="n">
        <f aca="false">AI64-AJ64</f>
        <v>0</v>
      </c>
      <c r="AM64" s="42" t="n">
        <f aca="false">AL64-AL66</f>
        <v>0</v>
      </c>
      <c r="AN64" s="42" t="n">
        <f aca="false">AF64*3+AG64</f>
        <v>0</v>
      </c>
      <c r="AO64" s="42" t="n">
        <f aca="false">AN64/AN66*10+BA64</f>
        <v>0</v>
      </c>
      <c r="AP64" s="42" t="n">
        <f aca="false">AO64*10000000+BI64*100+AM64/AM66*10+AI64/AI66*1++IF(AQ64=0,ROW(),AQ64)/2000000</f>
        <v>0.000796725</v>
      </c>
      <c r="AQ64" s="46" t="n">
        <f aca="false">VLOOKUP(AE64,db_fifarank,2,FALSE())</f>
        <v>1593.45</v>
      </c>
      <c r="AR64" s="45" t="n">
        <f aca="false">AP64/AP66</f>
        <v>0.000795978841474214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100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4"/>
      <c r="J65" s="80" t="str">
        <f aca="false">VLOOKUP(3,AD62:AN65,2,FALSE())</f>
        <v>Algeria</v>
      </c>
      <c r="K65" s="81" t="n">
        <f aca="false">L65+M65+N65</f>
        <v>0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0</v>
      </c>
      <c r="O65" s="81" t="str">
        <f aca="false">VLOOKUP(3,AD62:AN65,6,FALSE()) &amp; " - " &amp; VLOOKUP(3,AD62:AN65,7,FALSE())</f>
        <v>0 - 0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0</v>
      </c>
      <c r="AI65" s="42" t="n">
        <f aca="false">SUMIF($E$7:$E$78,$AE65,$F$7:$F$78) + SUMIF($H$7:$H$78,$AE65,$G$7:$G$78)</f>
        <v>0</v>
      </c>
      <c r="AJ65" s="42" t="n">
        <f aca="false">SUMIF($E$7:$E$78,$AE65,$G$7:$G$78) + SUMIF($H$7:$H$78,$AE65,$F$7:$F$78)</f>
        <v>0</v>
      </c>
      <c r="AL65" s="42" t="n">
        <f aca="false">AI65-AJ65</f>
        <v>0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0.000695725</v>
      </c>
      <c r="AQ65" s="46" t="n">
        <f aca="false">VLOOKUP(AE65,db_fifarank,2,FALSE())</f>
        <v>1391.45</v>
      </c>
      <c r="AR65" s="45" t="n">
        <f aca="false">AP65/AP66</f>
        <v>0.000695073431214845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4"/>
      <c r="J66" s="94" t="str">
        <f aca="false">VLOOKUP(4,AD62:AN65,2,FALSE())</f>
        <v>Jordan</v>
      </c>
      <c r="K66" s="95" t="n">
        <f aca="false">L66+M66+N66</f>
        <v>0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0</v>
      </c>
      <c r="O66" s="95" t="str">
        <f aca="false">VLOOKUP(4,AD62:AN65,6,FALSE()) &amp; " - " &amp; VLOOKUP(4,AD62:AN65,7,FALSE())</f>
        <v>0 - 0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1</v>
      </c>
      <c r="AG66" s="42" t="n">
        <f aca="false">MAX(AG62:AG65)-MIN(AG62:AG65)+1</f>
        <v>1</v>
      </c>
      <c r="AH66" s="42" t="n">
        <f aca="false">MAX(AH62:AH65)-MIN(AH62:AH65)+1</f>
        <v>1</v>
      </c>
      <c r="AI66" s="42" t="n">
        <f aca="false">MAX(AI62:AI65)+1</f>
        <v>1</v>
      </c>
      <c r="AL66" s="42" t="n">
        <f aca="false">MIN(AL62:AL65)</f>
        <v>0</v>
      </c>
      <c r="AM66" s="42" t="n">
        <f aca="false">MAX(AM62:AM65)+1</f>
        <v>1</v>
      </c>
      <c r="AN66" s="42" t="n">
        <f aca="false">MAX(AN62:AN65)+1</f>
        <v>1</v>
      </c>
      <c r="AO66" s="42" t="n">
        <f aca="false">MAX(AO62:AO65)+1</f>
        <v>1</v>
      </c>
      <c r="AP66" s="42" t="n">
        <f aca="false">MAX(AP62:AP65)+1</f>
        <v>1.00093741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100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4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4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100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4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4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4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4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4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1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366.667417356667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4" t="str">
        <f aca="false">IF(AD80&lt;=8,AE80,"")</f>
        <v/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Japan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2 - 2</v>
      </c>
      <c r="P81" s="118" t="n">
        <f aca="false">L81*3+M81</f>
        <v>1</v>
      </c>
      <c r="AD81" s="42" t="n">
        <f aca="false">COUNTIF($AP$80:$AP$91,CONCATENATE("&gt;=",AP81))</f>
        <v>4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0</v>
      </c>
      <c r="AI81" s="42" t="n">
        <f aca="false">VLOOKUP($AE81,$AE$8:$AQ$78,5,FALSE())</f>
        <v>1</v>
      </c>
      <c r="AJ81" s="42" t="n">
        <f aca="false">VLOOKUP($AE81,$AE$8:$AQ$78,6,FALSE())</f>
        <v>1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2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5700.00072748</v>
      </c>
      <c r="AQ81" s="46" t="n">
        <f aca="false">VLOOKUP($AE81,$AE$8:$AQ$78,13,FALSE())</f>
        <v>1454.96</v>
      </c>
      <c r="AR81" s="45" t="str">
        <f aca="false">AR80&amp;IF(AD81&lt;=8,RIGHT(AK81,1),"")</f>
        <v>B</v>
      </c>
      <c r="AS81" s="114" t="str">
        <f aca="false">IF(AD81&lt;=8,AE81,"")</f>
        <v>Qatar</v>
      </c>
      <c r="AT81" s="115" t="str">
        <f aca="false">"Ⓑ "&amp;AE81</f>
        <v>Ⓑ Qatar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Morocco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2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2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5700.000877935</v>
      </c>
      <c r="AQ82" s="46" t="n">
        <f aca="false">VLOOKUP($AE82,$AE$8:$AQ$78,13,FALSE())</f>
        <v>1755.87</v>
      </c>
      <c r="AR82" s="45" t="str">
        <f aca="false">AR81&amp;IF(AD82&lt;=8,RIGHT(AK82,1),"")</f>
        <v>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Ⓖ Belgium</v>
      </c>
      <c r="K83" s="120" t="n">
        <f aca="false">L83+M83+N83</f>
        <v>1</v>
      </c>
      <c r="L83" s="120" t="n">
        <f aca="false">VLOOKUP(3,$AD$80:$AN$91,3,FALSE())</f>
        <v>0</v>
      </c>
      <c r="M83" s="120" t="n">
        <f aca="false">VLOOKUP(3,$AD$80:$AN$91,4,FALSE())</f>
        <v>1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1 - 1</v>
      </c>
      <c r="P83" s="121" t="n">
        <f aca="false">L83*3+M83</f>
        <v>1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0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0.00079952</v>
      </c>
      <c r="AQ83" s="46" t="n">
        <f aca="false">VLOOKUP($AE83,$AE$8:$AQ$78,13,FALSE())</f>
        <v>1599.04</v>
      </c>
      <c r="AR83" s="45" t="str">
        <f aca="false">AR82&amp;IF(AD83&lt;=8,RIGHT(AK83,1),"")</f>
        <v>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Ⓑ Qatar</v>
      </c>
      <c r="K84" s="120" t="n">
        <f aca="false">L84+M84+N84</f>
        <v>1</v>
      </c>
      <c r="L84" s="120" t="n">
        <f aca="false">VLOOKUP(4,$AD$80:$AN$91,3,FALSE())</f>
        <v>0</v>
      </c>
      <c r="M84" s="120" t="n">
        <f aca="false">VLOOKUP(4,$AD$80:$AN$91,4,FALSE())</f>
        <v>1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1 - 1</v>
      </c>
      <c r="P84" s="121" t="n">
        <f aca="false">L84*3+M84</f>
        <v>1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11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333.334130723333</v>
      </c>
      <c r="AQ84" s="46" t="n">
        <f aca="false">VLOOKUP($AE84,$AE$8:$AQ$78,13,FALSE())</f>
        <v>1594.78</v>
      </c>
      <c r="AR84" s="45" t="str">
        <f aca="false">AR83&amp;IF(AD84&lt;=8,RIGHT(AK84,1),"")</f>
        <v>BC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Ⓗ Spain</v>
      </c>
      <c r="K85" s="120" t="n">
        <f aca="false">L85+M85+N85</f>
        <v>1</v>
      </c>
      <c r="L85" s="120" t="n">
        <f aca="false">VLOOKUP(5,$AD$80:$AN$91,3,FALSE())</f>
        <v>0</v>
      </c>
      <c r="M85" s="120" t="n">
        <f aca="false">VLOOKUP(5,$AD$80:$AN$91,4,FALSE())</f>
        <v>1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0 - 0</v>
      </c>
      <c r="P85" s="121" t="n">
        <f aca="false">L85*3+M85</f>
        <v>1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Japan</v>
      </c>
      <c r="AF85" s="42" t="n">
        <f aca="false">VLOOKUP($AE85,$AE$8:$AQ$78,2,FALSE())</f>
        <v>0</v>
      </c>
      <c r="AG85" s="42" t="n">
        <f aca="false">VLOOKUP($AE85,$AE$8:$AQ$78,3,FALSE())</f>
        <v>1</v>
      </c>
      <c r="AH85" s="42" t="n">
        <f aca="false">VLOOKUP($AE85,$AE$8:$AQ$78,4,FALSE())</f>
        <v>0</v>
      </c>
      <c r="AI85" s="42" t="n">
        <f aca="false">VLOOKUP($AE85,$AE$8:$AQ$78,5,FALSE())</f>
        <v>2</v>
      </c>
      <c r="AJ85" s="42" t="n">
        <f aca="false">VLOOKUP($AE85,$AE$8:$AQ$78,6,FALSE())</f>
        <v>2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2</v>
      </c>
      <c r="AN85" s="42" t="n">
        <f aca="false">VLOOKUP($AE85,$AE$8:$AQ$78,10,FALSE())</f>
        <v>1</v>
      </c>
      <c r="AP85" s="42" t="n">
        <f aca="false">AN85/AN92*10000+AM85/AM92*1000+AI85/AI92*100+IF(AQ85=0,ROW(),AQ85)/2000000</f>
        <v>5733.33416354833</v>
      </c>
      <c r="AQ85" s="46" t="n">
        <f aca="false">VLOOKUP($AE85,$AE$8:$AQ$78,13,FALSE())</f>
        <v>1660.43</v>
      </c>
      <c r="AR85" s="45" t="str">
        <f aca="false">AR84&amp;IF(AD85&lt;=8,RIGHT(AK85,1),"")</f>
        <v>BCF</v>
      </c>
      <c r="AS85" s="114" t="str">
        <f aca="false">IF(AD85&lt;=8,AE85,"")</f>
        <v>Japan</v>
      </c>
      <c r="AT85" s="115" t="str">
        <f aca="false">"Ⓕ "&amp;AE85</f>
        <v>Ⓕ Japan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Ⓙ Algeria</v>
      </c>
      <c r="K86" s="120" t="n">
        <f aca="false">L86+M86+N86</f>
        <v>0</v>
      </c>
      <c r="L86" s="120" t="n">
        <f aca="false">VLOOKUP(6,$AD$80:$AN$91,3,FALSE())</f>
        <v>0</v>
      </c>
      <c r="M86" s="120" t="n">
        <f aca="false">VLOOKUP(6,$AD$80:$AN$91,4,FALSE())</f>
        <v>0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3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1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2</v>
      </c>
      <c r="AN86" s="42" t="n">
        <f aca="false">VLOOKUP($AE86,$AE$8:$AQ$78,10,FALSE())</f>
        <v>1</v>
      </c>
      <c r="AP86" s="42" t="n">
        <f aca="false">AN86/AN92*10000+AM86/AM92*1000+AI86/AI92*100+IF(AQ86=0,ROW(),AQ86)/2000000</f>
        <v>5700.000867355</v>
      </c>
      <c r="AQ86" s="46" t="n">
        <f aca="false">VLOOKUP($AE86,$AE$8:$AQ$78,13,FALSE())</f>
        <v>1734.71</v>
      </c>
      <c r="AR86" s="45" t="str">
        <f aca="false">AR85&amp;IF(AD86&lt;=8,RIGHT(AK86,1),"")</f>
        <v>BCFG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Ⓘ Norway</v>
      </c>
      <c r="K87" s="120" t="n">
        <f aca="false">L87+M87+N87</f>
        <v>0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0 - 0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5</v>
      </c>
      <c r="AE87" s="44" t="str">
        <f aca="false">J53</f>
        <v>Spain</v>
      </c>
      <c r="AF87" s="42" t="n">
        <f aca="false">VLOOKUP($AE87,$AE$8:$AQ$78,2,FALSE())</f>
        <v>0</v>
      </c>
      <c r="AG87" s="42" t="n">
        <f aca="false">VLOOKUP($AE87,$AE$8:$AQ$78,3,FALSE())</f>
        <v>1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2</v>
      </c>
      <c r="AN87" s="42" t="n">
        <f aca="false">VLOOKUP($AE87,$AE$8:$AQ$78,10,FALSE())</f>
        <v>1</v>
      </c>
      <c r="AP87" s="42" t="n">
        <f aca="false">AN87/AN92*10000+AM87/AM92*1000+AI87/AI92*100+IF(AQ87=0,ROW(),AQ87)/2000000</f>
        <v>5666.66760486667</v>
      </c>
      <c r="AQ87" s="46" t="n">
        <f aca="false">VLOOKUP($AE87,$AE$8:$AQ$78,13,FALSE())</f>
        <v>1876.4</v>
      </c>
      <c r="AR87" s="45" t="str">
        <f aca="false">AR86&amp;IF(AD87&lt;=8,RIGHT(AK87,1),"")</f>
        <v>BCFGH</v>
      </c>
      <c r="AS87" s="114" t="str">
        <f aca="false">IF(AD87&lt;=8,AE87,"")</f>
        <v>Spain</v>
      </c>
      <c r="AT87" s="115" t="str">
        <f aca="false">"Ⓗ "&amp;AE87</f>
        <v>Ⓗ Spain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Ⓛ Panama</v>
      </c>
      <c r="K88" s="120" t="n">
        <f aca="false">L88+M88+N88</f>
        <v>0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0</v>
      </c>
      <c r="O88" s="120" t="str">
        <f aca="false">VLOOKUP(8,$AD$80:$AN$91,6,FALSE()) &amp; " - " &amp; VLOOKUP(8,$AD$80:$AN$91,7,FALSE())</f>
        <v>0 - 0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7</v>
      </c>
      <c r="AE88" s="44" t="str">
        <f aca="false">J59</f>
        <v>Norway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0</v>
      </c>
      <c r="AI88" s="42" t="n">
        <f aca="false">VLOOKUP($AE88,$AE$8:$AQ$78,5,FALSE())</f>
        <v>0</v>
      </c>
      <c r="AJ88" s="42" t="n">
        <f aca="false">VLOOKUP($AE88,$AE$8:$AQ$78,6,FALSE())</f>
        <v>0</v>
      </c>
      <c r="AK88" s="42" t="s">
        <v>3189</v>
      </c>
      <c r="AL88" s="42" t="n">
        <f aca="false">VLOOKUP($AE88,$AE$8:$AQ$78,8,FALSE())</f>
        <v>0</v>
      </c>
      <c r="AM88" s="42" t="n">
        <f aca="false">AL88-$AL$92</f>
        <v>2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666.667442136667</v>
      </c>
      <c r="AQ88" s="46" t="n">
        <f aca="false">VLOOKUP($AE88,$AE$8:$AQ$78,13,FALSE())</f>
        <v>1550.94</v>
      </c>
      <c r="AR88" s="45" t="str">
        <f aca="false">AR87&amp;IF(AD88&lt;=8,RIGHT(AK88,1),"")</f>
        <v>BCFGHI</v>
      </c>
      <c r="AS88" s="114" t="str">
        <f aca="false">IF(AD88&lt;=8,AE88,"")</f>
        <v>Norway</v>
      </c>
      <c r="AT88" s="115" t="str">
        <f aca="false">"Ⓘ "&amp;AE88</f>
        <v>Ⓘ Norway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Ⓚ DR Congo</v>
      </c>
      <c r="K89" s="124" t="n">
        <f aca="false">L89+M89+N89</f>
        <v>0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0</v>
      </c>
      <c r="O89" s="124" t="str">
        <f aca="false">VLOOKUP(9,$AD$80:$AN$91,6,FALSE()) &amp; " - " &amp; VLOOKUP(9,$AD$80:$AN$91,7,FALSE())</f>
        <v>0 - 0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0</v>
      </c>
      <c r="AI89" s="42" t="n">
        <f aca="false">VLOOKUP($AE89,$AE$8:$AQ$78,5,FALSE())</f>
        <v>0</v>
      </c>
      <c r="AJ89" s="42" t="n">
        <f aca="false">VLOOKUP($AE89,$AE$8:$AQ$78,6,FALSE())</f>
        <v>0</v>
      </c>
      <c r="AK89" s="42" t="s">
        <v>3190</v>
      </c>
      <c r="AL89" s="42" t="n">
        <f aca="false">VLOOKUP($AE89,$AE$8:$AQ$78,8,FALSE())</f>
        <v>0</v>
      </c>
      <c r="AM89" s="42" t="n">
        <f aca="false">AL89-$AL$92</f>
        <v>2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666.667448796667</v>
      </c>
      <c r="AQ89" s="46" t="n">
        <f aca="false">VLOOKUP($AE89,$AE$8:$AQ$78,13,FALSE())</f>
        <v>1564.26</v>
      </c>
      <c r="AR89" s="45" t="str">
        <f aca="false">AR88&amp;IF(AD89&lt;=8,RIGHT(AK89,1),"")</f>
        <v>BCFGHIJ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Ⓐ Czech Republic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1 - 2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9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2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666.667405841667</v>
      </c>
      <c r="AQ90" s="46" t="n">
        <f aca="false">VLOOKUP($AE90,$AE$8:$AQ$78,13,FALSE())</f>
        <v>1478.35</v>
      </c>
      <c r="AR90" s="45" t="str">
        <f aca="false">AR89&amp;IF(AD90&lt;=8,RIGHT(AK90,1),"")</f>
        <v>BCFGHIJ</v>
      </c>
      <c r="AS90" s="114" t="str">
        <f aca="false">IF(AD90&lt;=8,AE90,"")</f>
        <v/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Ⓔ Ecuador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0 - 1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8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666.667436986667</v>
      </c>
      <c r="AQ91" s="46" t="n">
        <f aca="false">VLOOKUP($AE91,$AE$8:$AQ$78,13,FALSE())</f>
        <v>1540.64</v>
      </c>
      <c r="AR91" s="45" t="str">
        <f aca="false">AR90&amp;IF(AD91&lt;=8,RIGHT(AK91,1),"")</f>
        <v>BCFGHIJL</v>
      </c>
      <c r="AS91" s="114" t="str">
        <f aca="false">IF(AD91&lt;=8,AE91,"")</f>
        <v>Panama</v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3</v>
      </c>
      <c r="AJ92" s="42" t="n">
        <f aca="false">MAX(AJ80:AJ91)+1</f>
        <v>3</v>
      </c>
      <c r="AL92" s="42" t="n">
        <f aca="false">MIN(AL80:AL91)</f>
        <v>-2</v>
      </c>
      <c r="AM92" s="42" t="n">
        <f aca="false">MAX(AM80:AM91)+1</f>
        <v>3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87</v>
      </c>
      <c r="C3" s="133" t="str">
        <f aca="false">'2026 World Cup'!AR91</f>
        <v>BCFGHIJL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3J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3I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2026-06-16T00:16:48Z</dcterms:modified>
  <cp:revision>15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