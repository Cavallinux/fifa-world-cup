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<sst xmlns="http://schemas.openxmlformats.org/spreadsheetml/2006/main" count="9786" uniqueCount="3698">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</sst>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19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20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9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0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1472400</xdr:colOff>
      <xdr:row>13</xdr:row>
      <xdr:rowOff>170280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1466640</xdr:colOff>
      <xdr:row>50</xdr:row>
      <xdr:rowOff>165240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1476720</xdr:colOff>
      <xdr:row>9</xdr:row>
      <xdr:rowOff>169560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1476360</xdr:colOff>
      <xdr:row>24</xdr:row>
      <xdr:rowOff>169560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1476720</xdr:colOff>
      <xdr:row>18</xdr:row>
      <xdr:rowOff>169560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1477080</xdr:colOff>
      <xdr:row>22</xdr:row>
      <xdr:rowOff>172080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226440</xdr:colOff>
      <xdr:row>36</xdr:row>
      <xdr:rowOff>162360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228960</xdr:colOff>
      <xdr:row>35</xdr:row>
      <xdr:rowOff>172080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226440</xdr:colOff>
      <xdr:row>27</xdr:row>
      <xdr:rowOff>172080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1476360</xdr:colOff>
      <xdr:row>15</xdr:row>
      <xdr:rowOff>162720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226440</xdr:colOff>
      <xdr:row>16</xdr:row>
      <xdr:rowOff>153000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1476360</xdr:colOff>
      <xdr:row>19</xdr:row>
      <xdr:rowOff>162720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1476360</xdr:colOff>
      <xdr:row>21</xdr:row>
      <xdr:rowOff>162720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185400</xdr:colOff>
      <xdr:row>13</xdr:row>
      <xdr:rowOff>163080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832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1476360</xdr:colOff>
      <xdr:row>42</xdr:row>
      <xdr:rowOff>163080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228600</xdr:colOff>
      <xdr:row>76</xdr:row>
      <xdr:rowOff>163080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1476360</xdr:colOff>
      <xdr:row>12</xdr:row>
      <xdr:rowOff>163440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213480</xdr:colOff>
      <xdr:row>32</xdr:row>
      <xdr:rowOff>168120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1461240</xdr:colOff>
      <xdr:row>27</xdr:row>
      <xdr:rowOff>162720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448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1471320</xdr:colOff>
      <xdr:row>36</xdr:row>
      <xdr:rowOff>171720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1473480</xdr:colOff>
      <xdr:row>48</xdr:row>
      <xdr:rowOff>172080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223560</xdr:colOff>
      <xdr:row>43</xdr:row>
      <xdr:rowOff>166320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1468080</xdr:colOff>
      <xdr:row>47</xdr:row>
      <xdr:rowOff>167400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1478520</xdr:colOff>
      <xdr:row>11</xdr:row>
      <xdr:rowOff>167400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223560</xdr:colOff>
      <xdr:row>12</xdr:row>
      <xdr:rowOff>157680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1468080</xdr:colOff>
      <xdr:row>73</xdr:row>
      <xdr:rowOff>169920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1473480</xdr:colOff>
      <xdr:row>38</xdr:row>
      <xdr:rowOff>164880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220320</xdr:colOff>
      <xdr:row>41</xdr:row>
      <xdr:rowOff>158040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1467360</xdr:colOff>
      <xdr:row>43</xdr:row>
      <xdr:rowOff>169920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1458360</xdr:colOff>
      <xdr:row>44</xdr:row>
      <xdr:rowOff>169920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1450800</xdr:colOff>
      <xdr:row>31</xdr:row>
      <xdr:rowOff>170280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832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1468800</xdr:colOff>
      <xdr:row>71</xdr:row>
      <xdr:rowOff>170640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1458360</xdr:colOff>
      <xdr:row>28</xdr:row>
      <xdr:rowOff>170640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1478520</xdr:colOff>
      <xdr:row>34</xdr:row>
      <xdr:rowOff>168480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219960</xdr:colOff>
      <xdr:row>57</xdr:row>
      <xdr:rowOff>167040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229320</xdr:colOff>
      <xdr:row>72</xdr:row>
      <xdr:rowOff>156600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226440</xdr:colOff>
      <xdr:row>64</xdr:row>
      <xdr:rowOff>158760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227520</xdr:colOff>
      <xdr:row>75</xdr:row>
      <xdr:rowOff>164520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228600</xdr:colOff>
      <xdr:row>70</xdr:row>
      <xdr:rowOff>168840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227520</xdr:colOff>
      <xdr:row>66</xdr:row>
      <xdr:rowOff>160920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228960</xdr:colOff>
      <xdr:row>65</xdr:row>
      <xdr:rowOff>170640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1472760</xdr:colOff>
      <xdr:row>55</xdr:row>
      <xdr:rowOff>168120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228960</xdr:colOff>
      <xdr:row>51</xdr:row>
      <xdr:rowOff>168840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225000</xdr:colOff>
      <xdr:row>61</xdr:row>
      <xdr:rowOff>166320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1485720</xdr:colOff>
      <xdr:row>62</xdr:row>
      <xdr:rowOff>158400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225000</xdr:colOff>
      <xdr:row>71</xdr:row>
      <xdr:rowOff>167760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225000</xdr:colOff>
      <xdr:row>69</xdr:row>
      <xdr:rowOff>168840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1460520</xdr:colOff>
      <xdr:row>52</xdr:row>
      <xdr:rowOff>169560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214920</xdr:colOff>
      <xdr:row>15</xdr:row>
      <xdr:rowOff>158040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205560</xdr:colOff>
      <xdr:row>39</xdr:row>
      <xdr:rowOff>158040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1462680</xdr:colOff>
      <xdr:row>60</xdr:row>
      <xdr:rowOff>158040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214920</xdr:colOff>
      <xdr:row>6</xdr:row>
      <xdr:rowOff>158040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205560</xdr:colOff>
      <xdr:row>30</xdr:row>
      <xdr:rowOff>158040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1462680</xdr:colOff>
      <xdr:row>59</xdr:row>
      <xdr:rowOff>158040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1463040</xdr:colOff>
      <xdr:row>7</xdr:row>
      <xdr:rowOff>157680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712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1462680</xdr:colOff>
      <xdr:row>6</xdr:row>
      <xdr:rowOff>148320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196200</xdr:colOff>
      <xdr:row>33</xdr:row>
      <xdr:rowOff>148320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712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205560</xdr:colOff>
      <xdr:row>59</xdr:row>
      <xdr:rowOff>148320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712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1462680</xdr:colOff>
      <xdr:row>33</xdr:row>
      <xdr:rowOff>148320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214920</xdr:colOff>
      <xdr:row>58</xdr:row>
      <xdr:rowOff>148320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224640</xdr:colOff>
      <xdr:row>7</xdr:row>
      <xdr:rowOff>157680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1472400</xdr:colOff>
      <xdr:row>30</xdr:row>
      <xdr:rowOff>167400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1462680</xdr:colOff>
      <xdr:row>58</xdr:row>
      <xdr:rowOff>148320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1472400</xdr:colOff>
      <xdr:row>8</xdr:row>
      <xdr:rowOff>158040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1472400</xdr:colOff>
      <xdr:row>32</xdr:row>
      <xdr:rowOff>158040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214920</xdr:colOff>
      <xdr:row>56</xdr:row>
      <xdr:rowOff>158040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224640</xdr:colOff>
      <xdr:row>8</xdr:row>
      <xdr:rowOff>158040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215280</xdr:colOff>
      <xdr:row>31</xdr:row>
      <xdr:rowOff>158040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1472400</xdr:colOff>
      <xdr:row>57</xdr:row>
      <xdr:rowOff>158040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214920</xdr:colOff>
      <xdr:row>9</xdr:row>
      <xdr:rowOff>158040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205560</xdr:colOff>
      <xdr:row>37</xdr:row>
      <xdr:rowOff>158040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1472400</xdr:colOff>
      <xdr:row>65</xdr:row>
      <xdr:rowOff>158040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1472400</xdr:colOff>
      <xdr:row>10</xdr:row>
      <xdr:rowOff>157680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215280</xdr:colOff>
      <xdr:row>34</xdr:row>
      <xdr:rowOff>167400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224640</xdr:colOff>
      <xdr:row>55</xdr:row>
      <xdr:rowOff>167400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224640</xdr:colOff>
      <xdr:row>10</xdr:row>
      <xdr:rowOff>158040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1472400</xdr:colOff>
      <xdr:row>35</xdr:row>
      <xdr:rowOff>158040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1472400</xdr:colOff>
      <xdr:row>54</xdr:row>
      <xdr:rowOff>158040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214920</xdr:colOff>
      <xdr:row>11</xdr:row>
      <xdr:rowOff>158040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1462680</xdr:colOff>
      <xdr:row>37</xdr:row>
      <xdr:rowOff>158040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1472400</xdr:colOff>
      <xdr:row>64</xdr:row>
      <xdr:rowOff>158040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224640</xdr:colOff>
      <xdr:row>54</xdr:row>
      <xdr:rowOff>167400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1453320</xdr:colOff>
      <xdr:row>56</xdr:row>
      <xdr:rowOff>167400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832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1472400</xdr:colOff>
      <xdr:row>14</xdr:row>
      <xdr:rowOff>157680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224640</xdr:colOff>
      <xdr:row>38</xdr:row>
      <xdr:rowOff>167400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224640</xdr:colOff>
      <xdr:row>60</xdr:row>
      <xdr:rowOff>167400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215280</xdr:colOff>
      <xdr:row>14</xdr:row>
      <xdr:rowOff>157680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1472400</xdr:colOff>
      <xdr:row>39</xdr:row>
      <xdr:rowOff>167400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1472400</xdr:colOff>
      <xdr:row>61</xdr:row>
      <xdr:rowOff>167400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1472400</xdr:colOff>
      <xdr:row>16</xdr:row>
      <xdr:rowOff>167400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1472400</xdr:colOff>
      <xdr:row>40</xdr:row>
      <xdr:rowOff>167400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224640</xdr:colOff>
      <xdr:row>63</xdr:row>
      <xdr:rowOff>167400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1472400</xdr:colOff>
      <xdr:row>17</xdr:row>
      <xdr:rowOff>167400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224640</xdr:colOff>
      <xdr:row>40</xdr:row>
      <xdr:rowOff>157680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224640</xdr:colOff>
      <xdr:row>62</xdr:row>
      <xdr:rowOff>157680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224640</xdr:colOff>
      <xdr:row>17</xdr:row>
      <xdr:rowOff>167400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1472400</xdr:colOff>
      <xdr:row>41</xdr:row>
      <xdr:rowOff>167400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1472400</xdr:colOff>
      <xdr:row>63</xdr:row>
      <xdr:rowOff>167400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215280</xdr:colOff>
      <xdr:row>18</xdr:row>
      <xdr:rowOff>158040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215280</xdr:colOff>
      <xdr:row>19</xdr:row>
      <xdr:rowOff>158040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215280</xdr:colOff>
      <xdr:row>42</xdr:row>
      <xdr:rowOff>158040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1472400</xdr:colOff>
      <xdr:row>70</xdr:row>
      <xdr:rowOff>158040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1472400</xdr:colOff>
      <xdr:row>20</xdr:row>
      <xdr:rowOff>158040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215280</xdr:colOff>
      <xdr:row>44</xdr:row>
      <xdr:rowOff>158040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215280</xdr:colOff>
      <xdr:row>68</xdr:row>
      <xdr:rowOff>158040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1472400</xdr:colOff>
      <xdr:row>23</xdr:row>
      <xdr:rowOff>158040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215280</xdr:colOff>
      <xdr:row>47</xdr:row>
      <xdr:rowOff>158040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215280</xdr:colOff>
      <xdr:row>67</xdr:row>
      <xdr:rowOff>158040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1463040</xdr:colOff>
      <xdr:row>45</xdr:row>
      <xdr:rowOff>158040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1472400</xdr:colOff>
      <xdr:row>69</xdr:row>
      <xdr:rowOff>158040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215280</xdr:colOff>
      <xdr:row>20</xdr:row>
      <xdr:rowOff>158040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215280</xdr:colOff>
      <xdr:row>21</xdr:row>
      <xdr:rowOff>167400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215280</xdr:colOff>
      <xdr:row>45</xdr:row>
      <xdr:rowOff>167400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1472400</xdr:colOff>
      <xdr:row>68</xdr:row>
      <xdr:rowOff>167400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215280</xdr:colOff>
      <xdr:row>22</xdr:row>
      <xdr:rowOff>158040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215280</xdr:colOff>
      <xdr:row>46</xdr:row>
      <xdr:rowOff>158040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1472400</xdr:colOff>
      <xdr:row>67</xdr:row>
      <xdr:rowOff>158040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620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1472400</xdr:colOff>
      <xdr:row>66</xdr:row>
      <xdr:rowOff>167400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1472400</xdr:colOff>
      <xdr:row>46</xdr:row>
      <xdr:rowOff>157680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215280</xdr:colOff>
      <xdr:row>23</xdr:row>
      <xdr:rowOff>167400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205560</xdr:colOff>
      <xdr:row>24</xdr:row>
      <xdr:rowOff>148320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205560</xdr:colOff>
      <xdr:row>49</xdr:row>
      <xdr:rowOff>148320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1462680</xdr:colOff>
      <xdr:row>74</xdr:row>
      <xdr:rowOff>157680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1462680</xdr:colOff>
      <xdr:row>25</xdr:row>
      <xdr:rowOff>158040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205560</xdr:colOff>
      <xdr:row>48</xdr:row>
      <xdr:rowOff>158040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205560</xdr:colOff>
      <xdr:row>74</xdr:row>
      <xdr:rowOff>158040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215280</xdr:colOff>
      <xdr:row>25</xdr:row>
      <xdr:rowOff>157680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1463040</xdr:colOff>
      <xdr:row>75</xdr:row>
      <xdr:rowOff>167400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1463040</xdr:colOff>
      <xdr:row>49</xdr:row>
      <xdr:rowOff>167400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205560</xdr:colOff>
      <xdr:row>26</xdr:row>
      <xdr:rowOff>148320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1462680</xdr:colOff>
      <xdr:row>51</xdr:row>
      <xdr:rowOff>158040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1462680</xdr:colOff>
      <xdr:row>72</xdr:row>
      <xdr:rowOff>158040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1472400</xdr:colOff>
      <xdr:row>26</xdr:row>
      <xdr:rowOff>167400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224640</xdr:colOff>
      <xdr:row>50</xdr:row>
      <xdr:rowOff>167400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224640</xdr:colOff>
      <xdr:row>73</xdr:row>
      <xdr:rowOff>167400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205560</xdr:colOff>
      <xdr:row>28</xdr:row>
      <xdr:rowOff>158040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205560</xdr:colOff>
      <xdr:row>53</xdr:row>
      <xdr:rowOff>158040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1462680</xdr:colOff>
      <xdr:row>77</xdr:row>
      <xdr:rowOff>158040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6480" cy="13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224640</xdr:colOff>
      <xdr:row>29</xdr:row>
      <xdr:rowOff>167400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1463040</xdr:colOff>
      <xdr:row>76</xdr:row>
      <xdr:rowOff>167400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1463040</xdr:colOff>
      <xdr:row>53</xdr:row>
      <xdr:rowOff>167400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556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1472400</xdr:colOff>
      <xdr:row>29</xdr:row>
      <xdr:rowOff>167400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215280</xdr:colOff>
      <xdr:row>52</xdr:row>
      <xdr:rowOff>167400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215280</xdr:colOff>
      <xdr:row>77</xdr:row>
      <xdr:rowOff>167400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6200" cy="148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7" colorId="64" zoomScale="124" zoomScaleNormal="124" zoomScalePageLayoutView="100" workbookViewId="0">
      <selection pane="topLeft" activeCell="G33" activeCellId="0" sqref="G33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1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2</v>
      </c>
      <c r="AE8" s="44" t="str">
        <f aca="false">VLOOKUP("Mexico",T,lang,FALSE())</f>
        <v>Mexico</v>
      </c>
      <c r="AF8" s="42" t="n">
        <f aca="false">COUNTIF($S$7:$T$78,"=" &amp; AE8 &amp; "_win")</f>
        <v>1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1</v>
      </c>
      <c r="AJ8" s="42" t="n">
        <f aca="false">SUMIF($E$7:$E$78,$AE8,$G$7:$G$78) + SUMIF($H$7:$H$78,$AE8,$F$7:$F$78)</f>
        <v>0</v>
      </c>
      <c r="AL8" s="42" t="n">
        <f aca="false">AI8-AJ8</f>
        <v>1</v>
      </c>
      <c r="AM8" s="42" t="n">
        <f aca="false">AL8-AL12</f>
        <v>2</v>
      </c>
      <c r="AN8" s="42" t="n">
        <f aca="false">AF8*3+AG8</f>
        <v>3</v>
      </c>
      <c r="AO8" s="42" t="n">
        <f aca="false">AN8/AN12*10+BA8</f>
        <v>7.5</v>
      </c>
      <c r="AP8" s="42" t="n">
        <f aca="false">AO8*10000000+BI8*100+AM8/AM12*10+AI8/AI12*1++IF(AQ8=0,ROW(),AQ8)/2000000</f>
        <v>75000007.0008405</v>
      </c>
      <c r="AQ8" s="46" t="n">
        <f aca="false">VLOOKUP(AE8,db_fifarank,2,FALSE())</f>
        <v>1681.03</v>
      </c>
      <c r="AR8" s="45" t="n">
        <f aca="false">AP8/AP12</f>
        <v>0.99999998222284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Korea Republic</v>
      </c>
      <c r="K9" s="76" t="n">
        <f aca="false">L9+M9+N9</f>
        <v>1</v>
      </c>
      <c r="L9" s="76" t="n">
        <f aca="false">VLOOKUP(1,AD8:AN11,3,FALSE())</f>
        <v>1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2 - 1</v>
      </c>
      <c r="P9" s="77" t="n">
        <f aca="false">L9*3+M9</f>
        <v>3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0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0</v>
      </c>
      <c r="AJ9" s="42" t="n">
        <f aca="false">SUMIF($E$7:$E$78,$AE9,$G$7:$G$78) + SUMIF($H$7:$H$78,$AE9,$F$7:$F$78)</f>
        <v>1</v>
      </c>
      <c r="AL9" s="42" t="n">
        <f aca="false">AI9-AJ9</f>
        <v>-1</v>
      </c>
      <c r="AM9" s="42" t="n">
        <f aca="false">AL9-AL12</f>
        <v>0</v>
      </c>
      <c r="AN9" s="42" t="n">
        <f aca="false">AF9*3+AG9</f>
        <v>0</v>
      </c>
      <c r="AO9" s="42" t="n">
        <f aca="false">AN9/AN12*10+BA9</f>
        <v>0</v>
      </c>
      <c r="AP9" s="42" t="n">
        <f aca="false">AO9*10000000+BI9*100+AM9/AM12*10+AI9/AI12*1++IF(AQ9=0,ROW(),AQ9)/2000000</f>
        <v>0.000714865</v>
      </c>
      <c r="AQ9" s="46" t="n">
        <f aca="false">VLOOKUP(AE9,db_fifarank,2,FALSE())</f>
        <v>1429.73</v>
      </c>
      <c r="AR9" s="45" t="n">
        <f aca="false">AP9/AP12</f>
        <v>9.53153227417324E-012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79" t="n">
        <v>4</v>
      </c>
      <c r="G10" s="69" t="n">
        <v>1</v>
      </c>
      <c r="H10" s="70" t="str">
        <f aca="false">AE27</f>
        <v>Paraguay</v>
      </c>
      <c r="J10" s="80" t="str">
        <f aca="false">VLOOKUP(2,AD8:AN11,2,FALSE())</f>
        <v>Mexico</v>
      </c>
      <c r="K10" s="81" t="n">
        <f aca="false">L10+M10+N10</f>
        <v>1</v>
      </c>
      <c r="L10" s="81" t="n">
        <f aca="false">VLOOKUP(2,AD8:AN11,3,FALSE())</f>
        <v>1</v>
      </c>
      <c r="M10" s="81" t="n">
        <f aca="false">VLOOKUP(2,AD8:AN11,4,FALSE())</f>
        <v>0</v>
      </c>
      <c r="N10" s="81" t="n">
        <f aca="false">VLOOKUP(2,AD8:AN11,5,FALSE())</f>
        <v>0</v>
      </c>
      <c r="O10" s="81" t="str">
        <f aca="false">VLOOKUP(2,AD8:AN11,6,FALSE()) &amp; " - " &amp; VLOOKUP(2,AD8:AN11,7,FALSE())</f>
        <v>1 - 0</v>
      </c>
      <c r="P10" s="82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1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0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1</v>
      </c>
      <c r="AL10" s="42" t="n">
        <f aca="false">AI10-AJ10</f>
        <v>1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7.5</v>
      </c>
      <c r="AP10" s="42" t="n">
        <f aca="false">AO10*10000000+BI10*100+AM10/AM12*10+AI10/AI12*1++IF(AQ10=0,ROW(),AQ10)/2000000</f>
        <v>75000007.3341277</v>
      </c>
      <c r="AQ10" s="46" t="n">
        <f aca="false">VLOOKUP(AE10,db_fifarank,2,FALSE())</f>
        <v>1588.66</v>
      </c>
      <c r="AR10" s="45" t="n">
        <f aca="false">AP10/AP12</f>
        <v>0.999999986666668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3" t="n">
        <v>74</v>
      </c>
      <c r="BL10" s="84" t="str">
        <f aca="false">AS32</f>
        <v>1E</v>
      </c>
      <c r="BM10" s="85"/>
      <c r="BN10" s="86"/>
      <c r="BO10" s="87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80" t="str">
        <f aca="false">VLOOKUP(3,AD8:AN11,2,FALSE())</f>
        <v>Czech Republic</v>
      </c>
      <c r="K11" s="81" t="n">
        <f aca="false">L11+M11+N11</f>
        <v>1</v>
      </c>
      <c r="L11" s="81" t="n">
        <f aca="false">VLOOKUP(3,AD8:AN11,3,FALSE())</f>
        <v>0</v>
      </c>
      <c r="M11" s="81" t="n">
        <f aca="false">VLOOKUP(3,AD8:AN11,4,FALSE())</f>
        <v>0</v>
      </c>
      <c r="N11" s="81" t="n">
        <f aca="false">VLOOKUP(3,AD8:AN11,5,FALSE())</f>
        <v>1</v>
      </c>
      <c r="O11" s="81" t="str">
        <f aca="false">VLOOKUP(3,AD8:AN11,6,FALSE()) &amp; " - " &amp; VLOOKUP(3,AD8:AN11,7,FALSE())</f>
        <v>1 - 2</v>
      </c>
      <c r="P11" s="82" t="n">
        <f aca="false">L11*3+M11</f>
        <v>0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0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1</v>
      </c>
      <c r="AJ11" s="42" t="n">
        <f aca="false">SUMIF($E$7:$E$78,$AE11,$G$7:$G$78) + SUMIF($H$7:$H$78,$AE11,$F$7:$F$78)</f>
        <v>2</v>
      </c>
      <c r="AL11" s="42" t="n">
        <f aca="false">AI11-AJ11</f>
        <v>-1</v>
      </c>
      <c r="AM11" s="42" t="n">
        <f aca="false">AL11-AL12</f>
        <v>0</v>
      </c>
      <c r="AN11" s="42" t="n">
        <f aca="false">AF11*3+AG11</f>
        <v>0</v>
      </c>
      <c r="AO11" s="42" t="n">
        <f aca="false">AN11/AN12*10+BA11</f>
        <v>0</v>
      </c>
      <c r="AP11" s="42" t="n">
        <f aca="false">AO11*10000000+BI11*100+AM11/AM12*10+AI11/AI12*1++IF(AQ11=0,ROW(),AQ11)/2000000</f>
        <v>0.334084023333333</v>
      </c>
      <c r="AQ11" s="46" t="n">
        <f aca="false">VLOOKUP(AE11,db_fifarank,2,FALSE())</f>
        <v>1501.38</v>
      </c>
      <c r="AR11" s="45" t="n">
        <f aca="false">AP11/AP12</f>
        <v>4.45445314945803E-009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3"/>
      <c r="BL11" s="88" t="str">
        <f aca="false">IF(group_round_completed,VLOOKUP('3rd places'!G3,AK80:AS91,9,FALSE()),"3rd Group A/B/C/D/F")</f>
        <v>3rd Group A/B/C/D/F</v>
      </c>
      <c r="BM11" s="89"/>
      <c r="BN11" s="90"/>
      <c r="BO11" s="91"/>
      <c r="BP11" s="92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3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79" t="n">
        <v>2</v>
      </c>
      <c r="G12" s="69" t="n">
        <v>0</v>
      </c>
      <c r="H12" s="70" t="str">
        <f aca="false">AE29</f>
        <v>Turkey</v>
      </c>
      <c r="J12" s="94" t="str">
        <f aca="false">VLOOKUP(4,AD8:AN11,2,FALSE())</f>
        <v>South Africa</v>
      </c>
      <c r="K12" s="95" t="n">
        <f aca="false">L12+M12+N12</f>
        <v>1</v>
      </c>
      <c r="L12" s="95" t="n">
        <f aca="false">VLOOKUP(4,AD8:AN11,3,FALSE())</f>
        <v>0</v>
      </c>
      <c r="M12" s="95" t="n">
        <f aca="false">VLOOKUP(4,AD8:AN11,4,FALSE())</f>
        <v>0</v>
      </c>
      <c r="N12" s="95" t="n">
        <f aca="false">VLOOKUP(4,AD8:AN11,5,FALSE())</f>
        <v>1</v>
      </c>
      <c r="O12" s="95" t="str">
        <f aca="false">VLOOKUP(4,AD8:AN11,6,FALSE()) &amp; " - " &amp; VLOOKUP(4,AD8:AN11,7,FALSE())</f>
        <v>0 - 1</v>
      </c>
      <c r="P12" s="96" t="n">
        <f aca="false">L12*3+M12</f>
        <v>0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2</v>
      </c>
      <c r="AG12" s="42" t="n">
        <f aca="false">MAX(AG8:AG11)-MIN(AG8:AG11)+1</f>
        <v>1</v>
      </c>
      <c r="AH12" s="42" t="n">
        <f aca="false">MAX(AH8:AH11)-MIN(AH8:AH11)+1</f>
        <v>2</v>
      </c>
      <c r="AI12" s="42" t="n">
        <f aca="false">MAX(AI8:AI11)+1</f>
        <v>3</v>
      </c>
      <c r="AL12" s="42" t="n">
        <f aca="false">MIN(AL8:AL11)</f>
        <v>-1</v>
      </c>
      <c r="AM12" s="42" t="n">
        <f aca="false">MAX(AM8:AM11)+1</f>
        <v>3</v>
      </c>
      <c r="AN12" s="42" t="n">
        <f aca="false">MAX(AN8:AN11)+1</f>
        <v>4</v>
      </c>
      <c r="AO12" s="42" t="n">
        <f aca="false">MAX(AO8:AO11)+1</f>
        <v>8.5</v>
      </c>
      <c r="AP12" s="42" t="n">
        <f aca="false">MAX(AP8:AP11)+1</f>
        <v>75000008.3341277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7"/>
      <c r="BQ12" s="47"/>
      <c r="BR12" s="83" t="n">
        <v>89</v>
      </c>
      <c r="BS12" s="84" t="str">
        <f aca="false">IF(BP10&gt;BP11,BL10,IF(BP10&lt;BP11,BL11,""))</f>
        <v/>
      </c>
      <c r="BT12" s="85"/>
      <c r="BU12" s="86"/>
      <c r="BV12" s="87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79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3"/>
      <c r="BP13" s="97" t="n">
        <f aca="false">DATE(2026,6,30)+TIME(10,0,0)+gmt_delta</f>
        <v>46203.7083333333</v>
      </c>
      <c r="BQ13" s="98"/>
      <c r="BR13" s="83"/>
      <c r="BS13" s="88" t="str">
        <f aca="false">IF(BP14&gt;BP15,BL14,IF(BP14&lt;BP15,BL15,""))</f>
        <v/>
      </c>
      <c r="BT13" s="89"/>
      <c r="BU13" s="90"/>
      <c r="BV13" s="91"/>
      <c r="BW13" s="92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79" t="n">
        <v>1</v>
      </c>
      <c r="G14" s="9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1</v>
      </c>
      <c r="V14" s="42" t="n">
        <f aca="false">U14*F14</f>
        <v>1</v>
      </c>
      <c r="W14" s="42" t="n">
        <f aca="false">U14*G14</f>
        <v>1</v>
      </c>
      <c r="X14" s="42" t="n">
        <f aca="false">IF(S14="",0,IF(VLOOKUP(E14,$AE$8:$AO$77,11,FALSE())=VLOOKUP(H14,$AE$8:$AO$77,11,FALSE()),1,0))</f>
        <v>1</v>
      </c>
      <c r="Y14" s="42" t="n">
        <f aca="false">X14*F14</f>
        <v>1</v>
      </c>
      <c r="Z14" s="42" t="n">
        <f aca="false">X14*G14</f>
        <v>1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0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1</v>
      </c>
      <c r="AJ14" s="42" t="n">
        <f aca="false">SUMIF($E$7:$E$78,$AE14,$G$7:$G$78) + SUMIF($H$7:$H$78,$AE14,$F$7:$F$78)</f>
        <v>1</v>
      </c>
      <c r="AL14" s="42" t="n">
        <f aca="false">AI14-AJ14</f>
        <v>0</v>
      </c>
      <c r="AM14" s="42" t="n">
        <f aca="false">AL14-AL18</f>
        <v>0</v>
      </c>
      <c r="AN14" s="42" t="n">
        <f aca="false">AF14*3+AG14</f>
        <v>1</v>
      </c>
      <c r="AO14" s="42" t="n">
        <f aca="false">AN14/AN18*10+BA14</f>
        <v>5.99019607843137</v>
      </c>
      <c r="AP14" s="42" t="n">
        <f aca="false">AO14*10000000+BI14*100+AM14/AM18*10+AI14/AI18*1++IF(AQ14=0,ROW(),AQ14)/2000000</f>
        <v>59902060.3046998</v>
      </c>
      <c r="AQ14" s="46" t="n">
        <f aca="false">VLOOKUP(AE14,db_fifarank,2,FALSE())</f>
        <v>1556.48</v>
      </c>
      <c r="AR14" s="45" t="n">
        <f aca="false">AP14/AP18</f>
        <v>0.999999983305308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101</v>
      </c>
      <c r="BA14" s="46" t="n">
        <f aca="false">AZ14/AZ18</f>
        <v>0.990196078431373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101</v>
      </c>
      <c r="BI14" s="46" t="n">
        <f aca="false">BH14/BH18</f>
        <v>0.990196078431373</v>
      </c>
      <c r="BK14" s="83" t="n">
        <v>77</v>
      </c>
      <c r="BL14" s="84" t="str">
        <f aca="false">AS56</f>
        <v>1I</v>
      </c>
      <c r="BM14" s="85"/>
      <c r="BN14" s="86"/>
      <c r="BO14" s="87"/>
      <c r="BP14" s="100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7"/>
      <c r="BX14" s="47"/>
      <c r="BY14" s="74"/>
      <c r="BZ14" s="74"/>
      <c r="CA14" s="74"/>
      <c r="CB14" s="74"/>
      <c r="CC14" s="93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79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1</v>
      </c>
      <c r="L15" s="76" t="n">
        <f aca="false">VLOOKUP(1,AD14:AN17,3,FALSE())</f>
        <v>0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1 - 1</v>
      </c>
      <c r="P15" s="77" t="n">
        <f aca="false">L15*3+M15</f>
        <v>1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4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0</v>
      </c>
      <c r="AI15" s="42" t="n">
        <f aca="false">SUMIF($E$7:$E$78,$AE15,$F$7:$F$78) + SUMIF($H$7:$H$78,$AE15,$G$7:$G$78)</f>
        <v>1</v>
      </c>
      <c r="AJ15" s="42" t="n">
        <f aca="false">SUMIF($E$7:$E$78,$AE15,$G$7:$G$78) + SUMIF($H$7:$H$78,$AE15,$F$7:$F$78)</f>
        <v>1</v>
      </c>
      <c r="AL15" s="42" t="n">
        <f aca="false">AI15-AJ15</f>
        <v>0</v>
      </c>
      <c r="AM15" s="42" t="n">
        <f aca="false">AL15-AL18</f>
        <v>0</v>
      </c>
      <c r="AN15" s="42" t="n">
        <f aca="false">AF15*3+AG15</f>
        <v>1</v>
      </c>
      <c r="AO15" s="42" t="n">
        <f aca="false">AN15/AN18*10+BA15</f>
        <v>5.99019607843137</v>
      </c>
      <c r="AP15" s="42" t="n">
        <f aca="false">AO15*10000000+BI15*100+AM15/AM18*10+AI15/AI18*1++IF(AQ15=0,ROW(),AQ15)/2000000</f>
        <v>59902060.3046145</v>
      </c>
      <c r="AQ15" s="46" t="n">
        <f aca="false">VLOOKUP(AE15,db_fifarank,2,FALSE())</f>
        <v>1385.84</v>
      </c>
      <c r="AR15" s="45" t="n">
        <f aca="false">AP15/AP18</f>
        <v>0.999999983303884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101</v>
      </c>
      <c r="BA15" s="46" t="n">
        <f aca="false">AZ15/AZ18</f>
        <v>0.990196078431373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101</v>
      </c>
      <c r="BI15" s="46" t="n">
        <f aca="false">BH15/BH18</f>
        <v>0.990196078431373</v>
      </c>
      <c r="BK15" s="83"/>
      <c r="BL15" s="88" t="str">
        <f aca="false">IF(group_round_completed,VLOOKUP('3rd places'!I3,AK80:AS91,9,FALSE()),"3rd Group C/D/F/G/H")</f>
        <v>3rd Group C/D/F/G/H</v>
      </c>
      <c r="BM15" s="89"/>
      <c r="BN15" s="90"/>
      <c r="BO15" s="91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7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3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99" t="n">
        <v>1</v>
      </c>
      <c r="H16" s="70" t="str">
        <f aca="false">AE33</f>
        <v>Curaçao</v>
      </c>
      <c r="J16" s="80" t="str">
        <f aca="false">VLOOKUP(2,AD14:AN17,2,FALSE())</f>
        <v>Canada</v>
      </c>
      <c r="K16" s="81" t="n">
        <f aca="false">L16+M16+N16</f>
        <v>1</v>
      </c>
      <c r="L16" s="81" t="n">
        <f aca="false">VLOOKUP(2,AD14:AN17,3,FALSE())</f>
        <v>0</v>
      </c>
      <c r="M16" s="81" t="n">
        <f aca="false">VLOOKUP(2,AD14:AN17,4,FALSE())</f>
        <v>1</v>
      </c>
      <c r="N16" s="81" t="n">
        <f aca="false">VLOOKUP(2,AD14:AN17,5,FALSE())</f>
        <v>0</v>
      </c>
      <c r="O16" s="81" t="str">
        <f aca="false">VLOOKUP(2,AD14:AN17,6,FALSE()) &amp; " - " &amp; VLOOKUP(2,AD14:AN17,7,FALSE())</f>
        <v>1 - 1</v>
      </c>
      <c r="P16" s="82" t="n">
        <f aca="false">L16*3+M16</f>
        <v>1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3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0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1</v>
      </c>
      <c r="AL16" s="42" t="n">
        <f aca="false">AI16-AJ16</f>
        <v>0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5.99019607843137</v>
      </c>
      <c r="AP16" s="42" t="n">
        <f aca="false">AO16*10000000+BI16*100+AM16/AM18*10+AI16/AI18*1++IF(AQ16=0,ROW(),AQ16)/2000000</f>
        <v>59902060.3046491</v>
      </c>
      <c r="AQ16" s="46" t="n">
        <f aca="false">VLOOKUP(AE16,db_fifarank,2,FALSE())</f>
        <v>1454.96</v>
      </c>
      <c r="AR16" s="45" t="n">
        <f aca="false">AP16/AP18</f>
        <v>0.999999983304461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1</v>
      </c>
      <c r="AV16" s="46" t="n">
        <f aca="false" t="array" ref="AV16:AV16">SUMPRODUCT(($E$7:$E$78=AE16)*($U$7:$U$78)*($F$7:$F$78))+SUMPRODUCT(($H$7:$H$78=AE16)*($U$7:$U$78)*($G$7:$G$78))</f>
        <v>1</v>
      </c>
      <c r="AW16" s="46" t="n">
        <f aca="false" t="array" ref="AW16:AW16">SUMPRODUCT(($E$7:$E$78=AE16)*($U$7:$U$78)*($G$7:$G$78))+SUMPRODUCT(($H$7:$H$78=AE16)*($U$7:$U$78)*($F$7:$F$78))</f>
        <v>1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101</v>
      </c>
      <c r="BA16" s="46" t="n">
        <f aca="false">AZ16/AZ18</f>
        <v>0.990196078431373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1</v>
      </c>
      <c r="BD16" s="46" t="n">
        <f aca="false" t="array" ref="BD16:BD16">SUMPRODUCT(($E$7:$E$78=AE16)*($X$7:$X$78)*($F$7:$F$78))+SUMPRODUCT(($H$7:$H$78=AE16)*($X$7:$X$78)*($G$7:$G$78))</f>
        <v>1</v>
      </c>
      <c r="BE16" s="46" t="n">
        <f aca="false" t="array" ref="BE16:BE16">SUMPRODUCT(($E$7:$E$78=AE16)*($X$7:$X$78)*($G$7:$G$78))+SUMPRODUCT(($H$7:$H$78=AE16)*($X$7:$X$78)*($F$7:$F$78))</f>
        <v>1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101</v>
      </c>
      <c r="BI16" s="46" t="n">
        <f aca="false">BH16/BH18</f>
        <v>0.990196078431373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7"/>
      <c r="BX16" s="47"/>
      <c r="BY16" s="83" t="n">
        <v>97</v>
      </c>
      <c r="BZ16" s="84" t="str">
        <f aca="false">IF(BW12&gt;BW13,BS12,IF(BW12&lt;BW13,BS13,""))</f>
        <v/>
      </c>
      <c r="CA16" s="85"/>
      <c r="CB16" s="86"/>
      <c r="CC16" s="87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80" t="str">
        <f aca="false">VLOOKUP(3,AD14:AN17,2,FALSE())</f>
        <v>Qatar</v>
      </c>
      <c r="K17" s="81" t="n">
        <f aca="false">L17+M17+N17</f>
        <v>1</v>
      </c>
      <c r="L17" s="81" t="n">
        <f aca="false">VLOOKUP(3,AD14:AN17,3,FALSE())</f>
        <v>0</v>
      </c>
      <c r="M17" s="81" t="n">
        <f aca="false">VLOOKUP(3,AD14:AN17,4,FALSE())</f>
        <v>1</v>
      </c>
      <c r="N17" s="81" t="n">
        <f aca="false">VLOOKUP(3,AD14:AN17,5,FALSE())</f>
        <v>0</v>
      </c>
      <c r="O17" s="81" t="str">
        <f aca="false">VLOOKUP(3,AD14:AN17,6,FALSE()) &amp; " - " &amp; VLOOKUP(3,AD14:AN17,7,FALSE())</f>
        <v>1 - 1</v>
      </c>
      <c r="P17" s="82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0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1</v>
      </c>
      <c r="AJ17" s="42" t="n">
        <f aca="false">SUMIF($E$7:$E$78,$AE17,$G$7:$G$78) + SUMIF($H$7:$H$78,$AE17,$F$7:$F$78)</f>
        <v>1</v>
      </c>
      <c r="AL17" s="42" t="n">
        <f aca="false">AI17-AJ17</f>
        <v>0</v>
      </c>
      <c r="AM17" s="42" t="n">
        <f aca="false">AL17-AL18</f>
        <v>0</v>
      </c>
      <c r="AN17" s="42" t="n">
        <f aca="false">AF17*3+AG17</f>
        <v>1</v>
      </c>
      <c r="AO17" s="42" t="n">
        <f aca="false">AN17/AN18*10+BA17</f>
        <v>5.99019607843137</v>
      </c>
      <c r="AP17" s="42" t="n">
        <f aca="false">AO17*10000000+BI17*100+AM17/AM18*10+AI17/AI18*1++IF(AQ17=0,ROW(),AQ17)/2000000</f>
        <v>59902060.3047463</v>
      </c>
      <c r="AQ17" s="46" t="n">
        <f aca="false">VLOOKUP(AE17,db_fifarank,2,FALSE())</f>
        <v>1649.4</v>
      </c>
      <c r="AR17" s="45" t="n">
        <f aca="false">AP17/AP18</f>
        <v>0.999999983306084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1</v>
      </c>
      <c r="AV17" s="46" t="n">
        <f aca="false" t="array" ref="AV17:AV17">SUMPRODUCT(($E$7:$E$78=AE17)*($U$7:$U$78)*($F$7:$F$78))+SUMPRODUCT(($H$7:$H$78=AE17)*($U$7:$U$78)*($G$7:$G$78))</f>
        <v>1</v>
      </c>
      <c r="AW17" s="46" t="n">
        <f aca="false" t="array" ref="AW17:AW17">SUMPRODUCT(($E$7:$E$78=AE17)*($U$7:$U$78)*($G$7:$G$78))+SUMPRODUCT(($H$7:$H$78=AE17)*($U$7:$U$78)*($F$7:$F$78))</f>
        <v>1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101</v>
      </c>
      <c r="BA17" s="46" t="n">
        <f aca="false">AZ17/AZ18</f>
        <v>0.990196078431373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1</v>
      </c>
      <c r="BD17" s="46" t="n">
        <f aca="false" t="array" ref="BD17:BD17">SUMPRODUCT(($E$7:$E$78=AE17)*($X$7:$X$78)*($F$7:$F$78))+SUMPRODUCT(($H$7:$H$78=AE17)*($X$7:$X$78)*($G$7:$G$78))</f>
        <v>1</v>
      </c>
      <c r="BE17" s="46" t="n">
        <f aca="false" t="array" ref="BE17:BE17">SUMPRODUCT(($E$7:$E$78=AE17)*($X$7:$X$78)*($G$7:$G$78))+SUMPRODUCT(($H$7:$H$78=AE17)*($X$7:$X$78)*($F$7:$F$78))</f>
        <v>1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101</v>
      </c>
      <c r="BI17" s="46" t="n">
        <f aca="false">BH17/BH18</f>
        <v>0.990196078431373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3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7"/>
      <c r="BX17" s="98"/>
      <c r="BY17" s="83"/>
      <c r="BZ17" s="88" t="str">
        <f aca="false">IF(BW20&gt;BW21,BS20,IF(BW20&lt;BW21,BS21,""))</f>
        <v/>
      </c>
      <c r="CA17" s="89"/>
      <c r="CB17" s="90"/>
      <c r="CC17" s="91"/>
      <c r="CD17" s="92" t="str">
        <f aca="false">IF(CD16="","",CA17*1000+CB17*10+CC17)</f>
        <v/>
      </c>
      <c r="CE17" s="101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79" t="n">
        <v>5</v>
      </c>
      <c r="G18" s="69" t="n">
        <v>1</v>
      </c>
      <c r="H18" s="70" t="str">
        <f aca="false">AE41</f>
        <v>Tunisia</v>
      </c>
      <c r="J18" s="94" t="str">
        <f aca="false">VLOOKUP(4,AD14:AN17,2,FALSE())</f>
        <v>Bosnia and Herzegovina</v>
      </c>
      <c r="K18" s="95" t="n">
        <f aca="false">L18+M18+N18</f>
        <v>1</v>
      </c>
      <c r="L18" s="95" t="n">
        <f aca="false">VLOOKUP(4,AD14:AN17,3,FALSE())</f>
        <v>0</v>
      </c>
      <c r="M18" s="95" t="n">
        <f aca="false">VLOOKUP(4,AD14:AN17,4,FALSE())</f>
        <v>1</v>
      </c>
      <c r="N18" s="95" t="n">
        <f aca="false">VLOOKUP(4,AD14:AN17,5,FALSE())</f>
        <v>0</v>
      </c>
      <c r="O18" s="95" t="str">
        <f aca="false">VLOOKUP(4,AD14:AN17,6,FALSE()) &amp; " - " &amp; VLOOKUP(4,AD14:AN17,7,FALSE())</f>
        <v>1 - 1</v>
      </c>
      <c r="P18" s="96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1</v>
      </c>
      <c r="AG18" s="42" t="n">
        <f aca="false">MAX(AG14:AG17)-MIN(AG14:AG17)+1</f>
        <v>1</v>
      </c>
      <c r="AH18" s="42" t="n">
        <f aca="false">MAX(AH14:AH17)-MIN(AH14:AH17)+1</f>
        <v>1</v>
      </c>
      <c r="AI18" s="42" t="n">
        <f aca="false">MAX(AI14:AI17)+1</f>
        <v>2</v>
      </c>
      <c r="AL18" s="42" t="n">
        <f aca="false">MIN(AL14:AL17)</f>
        <v>0</v>
      </c>
      <c r="AM18" s="42" t="n">
        <f aca="false">MAX(AM14:AM17)+1</f>
        <v>1</v>
      </c>
      <c r="AN18" s="42" t="n">
        <f aca="false">MAX(AN14:AN17)+1</f>
        <v>2</v>
      </c>
      <c r="AO18" s="42" t="n">
        <f aca="false">MAX(AO14:AO17)+1</f>
        <v>6.99019607843137</v>
      </c>
      <c r="AP18" s="42" t="n">
        <f aca="false">MAX(AP14:AP17)+1</f>
        <v>59902061.3047463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102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102</v>
      </c>
      <c r="BK18" s="83" t="n">
        <v>73</v>
      </c>
      <c r="BL18" s="84" t="str">
        <f aca="false">AS9</f>
        <v>2A</v>
      </c>
      <c r="BM18" s="85"/>
      <c r="BN18" s="86"/>
      <c r="BO18" s="87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7"/>
      <c r="BX18" s="47"/>
      <c r="BY18" s="74"/>
      <c r="BZ18" s="74"/>
      <c r="CA18" s="74"/>
      <c r="CB18" s="74"/>
      <c r="CC18" s="74"/>
      <c r="CD18" s="97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79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3"/>
      <c r="BL19" s="88" t="str">
        <f aca="false">AS15</f>
        <v>2B</v>
      </c>
      <c r="BM19" s="89"/>
      <c r="BN19" s="90"/>
      <c r="BO19" s="91"/>
      <c r="BP19" s="92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3"/>
      <c r="BW19" s="97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7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79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1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1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2</v>
      </c>
      <c r="AE20" s="44" t="str">
        <f aca="false">VLOOKUP("Brazil",T,lang,FALSE())</f>
        <v>Brazil</v>
      </c>
      <c r="AF20" s="42" t="n">
        <f aca="false">COUNTIF($S$7:$T$78,"=" &amp; AE20 &amp; "_win")</f>
        <v>0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1</v>
      </c>
      <c r="AJ20" s="42" t="n">
        <f aca="false">SUMIF($E$7:$E$78,$AE20,$G$7:$G$78) + SUMIF($H$7:$H$78,$AE20,$F$7:$F$78)</f>
        <v>1</v>
      </c>
      <c r="AL20" s="42" t="n">
        <f aca="false">AI20-AJ20</f>
        <v>0</v>
      </c>
      <c r="AM20" s="42" t="n">
        <f aca="false">AL20-AL24</f>
        <v>1</v>
      </c>
      <c r="AN20" s="42" t="n">
        <f aca="false">AF20*3+AG20</f>
        <v>1</v>
      </c>
      <c r="AO20" s="42" t="n">
        <f aca="false">AN20/AN24*10+BA20</f>
        <v>3.48058252427184</v>
      </c>
      <c r="AP20" s="42" t="n">
        <f aca="false">AO20*10000000+BI20*100+AM20/AM24*10+AI20/AI24*1++IF(AQ20=0,ROW(),AQ20)/2000000</f>
        <v>34805927.1351848</v>
      </c>
      <c r="AQ20" s="46" t="n">
        <f aca="false">VLOOKUP(AE20,db_fifarank,2,FALSE())</f>
        <v>1761.16</v>
      </c>
      <c r="AR20" s="45" t="n">
        <f aca="false">AP20/AP24</f>
        <v>0.46407897793145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7"/>
      <c r="BQ20" s="47"/>
      <c r="BR20" s="83" t="n">
        <v>90</v>
      </c>
      <c r="BS20" s="84" t="str">
        <f aca="false">IF(BP18&gt;BP19,BL18,IF(BP18&lt;BP19,BL19,""))</f>
        <v/>
      </c>
      <c r="BT20" s="85"/>
      <c r="BU20" s="86"/>
      <c r="BV20" s="87"/>
      <c r="BW20" s="100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7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79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Scotland</v>
      </c>
      <c r="K21" s="76" t="n">
        <f aca="false">L21+M21+N21</f>
        <v>1</v>
      </c>
      <c r="L21" s="76" t="n">
        <f aca="false">VLOOKUP(1,AD20:AN23,3,FALSE())</f>
        <v>1</v>
      </c>
      <c r="M21" s="76" t="n">
        <f aca="false">VLOOKUP(1,AD20:AN23,4,FALSE())</f>
        <v>0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1 - 0</v>
      </c>
      <c r="P21" s="77" t="n">
        <f aca="false">L21*3+M21</f>
        <v>3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1</v>
      </c>
      <c r="V21" s="42" t="n">
        <f aca="false">U21*F21</f>
        <v>2</v>
      </c>
      <c r="W21" s="42" t="n">
        <f aca="false">U21*G21</f>
        <v>2</v>
      </c>
      <c r="X21" s="42" t="n">
        <f aca="false">IF(S21="",0,IF(VLOOKUP(E21,$AE$8:$AO$77,11,FALSE())=VLOOKUP(H21,$AE$8:$AO$77,11,FALSE()),1,0))</f>
        <v>1</v>
      </c>
      <c r="Y21" s="42" t="n">
        <f aca="false">X21*F21</f>
        <v>2</v>
      </c>
      <c r="Z21" s="42" t="n">
        <f aca="false">X21*G21</f>
        <v>2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3</v>
      </c>
      <c r="AE21" s="44" t="str">
        <f aca="false">VLOOKUP("Morocco",T,lang,FALSE())</f>
        <v>Morocco</v>
      </c>
      <c r="AF21" s="42" t="n">
        <f aca="false">COUNTIF($S$7:$T$78,"=" &amp; AE21 &amp; "_win")</f>
        <v>0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1</v>
      </c>
      <c r="AJ21" s="42" t="n">
        <f aca="false">SUMIF($E$7:$E$78,$AE21,$G$7:$G$78) + SUMIF($H$7:$H$78,$AE21,$F$7:$F$78)</f>
        <v>1</v>
      </c>
      <c r="AL21" s="42" t="n">
        <f aca="false">AI21-AJ21</f>
        <v>0</v>
      </c>
      <c r="AM21" s="42" t="n">
        <f aca="false">AL21-AL24</f>
        <v>1</v>
      </c>
      <c r="AN21" s="42" t="n">
        <f aca="false">AF21*3+AG21</f>
        <v>1</v>
      </c>
      <c r="AO21" s="42" t="n">
        <f aca="false">AN21/AN24*10+BA21</f>
        <v>3.48058252427184</v>
      </c>
      <c r="AP21" s="42" t="n">
        <f aca="false">AO21*10000000+BI21*100+AM21/AM24*10+AI21/AI24*1++IF(AQ21=0,ROW(),AQ21)/2000000</f>
        <v>34805927.1351821</v>
      </c>
      <c r="AQ21" s="46" t="n">
        <f aca="false">VLOOKUP(AE21,db_fifarank,2,FALSE())</f>
        <v>1755.87</v>
      </c>
      <c r="AR21" s="45" t="n">
        <f aca="false">AP21/AP24</f>
        <v>0.464078977931415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3"/>
      <c r="BP21" s="97" t="n">
        <f aca="false">DATE(2026,6,29)+TIME(14,0,0)+gmt_delta</f>
        <v>46202.875</v>
      </c>
      <c r="BQ21" s="98"/>
      <c r="BR21" s="83"/>
      <c r="BS21" s="88" t="str">
        <f aca="false">IF(BP22&gt;BP23,BL22,IF(BP22&lt;BP23,BL23,""))</f>
        <v/>
      </c>
      <c r="BT21" s="89"/>
      <c r="BU21" s="90"/>
      <c r="BV21" s="91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7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79" t="n">
        <v>1</v>
      </c>
      <c r="G22" s="69" t="n">
        <v>1</v>
      </c>
      <c r="H22" s="70" t="str">
        <f aca="false">AE45</f>
        <v>Egypt</v>
      </c>
      <c r="J22" s="80" t="str">
        <f aca="false">VLOOKUP(2,AD20:AN23,2,FALSE())</f>
        <v>Brazil</v>
      </c>
      <c r="K22" s="81" t="n">
        <f aca="false">L22+M22+N22</f>
        <v>1</v>
      </c>
      <c r="L22" s="81" t="n">
        <f aca="false">VLOOKUP(2,AD20:AN23,3,FALSE())</f>
        <v>0</v>
      </c>
      <c r="M22" s="81" t="n">
        <f aca="false">VLOOKUP(2,AD20:AN23,4,FALSE())</f>
        <v>1</v>
      </c>
      <c r="N22" s="81" t="n">
        <f aca="false">VLOOKUP(2,AD20:AN23,5,FALSE())</f>
        <v>0</v>
      </c>
      <c r="O22" s="81" t="str">
        <f aca="false">VLOOKUP(2,AD20:AN23,6,FALSE()) &amp; " - " &amp; VLOOKUP(2,AD20:AN23,7,FALSE())</f>
        <v>1 - 1</v>
      </c>
      <c r="P22" s="82" t="n">
        <f aca="false">L22*3+M22</f>
        <v>1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1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1</v>
      </c>
      <c r="AL22" s="42" t="n">
        <f aca="false">AI22-AJ22</f>
        <v>-1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8.6113990622283E-012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3" t="n">
        <v>75</v>
      </c>
      <c r="BL22" s="84" t="str">
        <f aca="false">AS38</f>
        <v>1F</v>
      </c>
      <c r="BM22" s="85"/>
      <c r="BN22" s="86"/>
      <c r="BO22" s="87"/>
      <c r="BP22" s="100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7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3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79" t="n">
        <v>3</v>
      </c>
      <c r="G23" s="69" t="n">
        <v>1</v>
      </c>
      <c r="H23" s="70" t="str">
        <f aca="false">AE57</f>
        <v>Senegal</v>
      </c>
      <c r="J23" s="80" t="str">
        <f aca="false">VLOOKUP(3,AD20:AN23,2,FALSE())</f>
        <v>Morocco</v>
      </c>
      <c r="K23" s="81" t="n">
        <f aca="false">L23+M23+N23</f>
        <v>1</v>
      </c>
      <c r="L23" s="81" t="n">
        <f aca="false">VLOOKUP(3,AD20:AN23,3,FALSE())</f>
        <v>0</v>
      </c>
      <c r="M23" s="81" t="n">
        <f aca="false">VLOOKUP(3,AD20:AN23,4,FALSE())</f>
        <v>1</v>
      </c>
      <c r="N23" s="81" t="n">
        <f aca="false">VLOOKUP(3,AD20:AN23,5,FALSE())</f>
        <v>0</v>
      </c>
      <c r="O23" s="81" t="str">
        <f aca="false">VLOOKUP(3,AD20:AN23,6,FALSE()) &amp; " - " &amp; VLOOKUP(3,AD20:AN23,7,FALSE())</f>
        <v>1 - 1</v>
      </c>
      <c r="P23" s="82" t="n">
        <f aca="false">L23*3+M23</f>
        <v>1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1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0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0</v>
      </c>
      <c r="AL23" s="42" t="n">
        <f aca="false">AI23-AJ23</f>
        <v>1</v>
      </c>
      <c r="AM23" s="42" t="n">
        <f aca="false">AL23-AL24</f>
        <v>2</v>
      </c>
      <c r="AN23" s="42" t="n">
        <f aca="false">AF23*3+AG23</f>
        <v>3</v>
      </c>
      <c r="AO23" s="42" t="n">
        <f aca="false">AN23/AN24*10+BA23</f>
        <v>7.5</v>
      </c>
      <c r="AP23" s="42" t="n">
        <f aca="false">AO23*10000000+BI23*100+AM23/AM24*10+AI23/AI24*1++IF(AQ23=0,ROW(),AQ23)/2000000</f>
        <v>75000007.1674158</v>
      </c>
      <c r="AQ23" s="46" t="n">
        <f aca="false">VLOOKUP(AE23,db_fifarank,2,FALSE())</f>
        <v>1498.35</v>
      </c>
      <c r="AR23" s="45" t="n">
        <f aca="false">AP23/AP24</f>
        <v>0.999999986666668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3"/>
      <c r="BL23" s="88" t="str">
        <f aca="false">AS21</f>
        <v>2C</v>
      </c>
      <c r="BM23" s="89"/>
      <c r="BN23" s="90"/>
      <c r="BO23" s="91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7"/>
      <c r="CE23" s="47"/>
      <c r="CF23" s="83" t="n">
        <v>101</v>
      </c>
      <c r="CG23" s="84" t="str">
        <f aca="false">IF(CD16&gt;CD17,BZ16,IF(CD16&lt;CD17,BZ17,""))</f>
        <v/>
      </c>
      <c r="CH23" s="85"/>
      <c r="CI23" s="86"/>
      <c r="CJ23" s="87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79" t="n">
        <v>1</v>
      </c>
      <c r="G24" s="69" t="n">
        <v>4</v>
      </c>
      <c r="H24" s="70" t="str">
        <f aca="false">AE59</f>
        <v>Norway</v>
      </c>
      <c r="J24" s="94" t="str">
        <f aca="false">VLOOKUP(4,AD20:AN23,2,FALSE())</f>
        <v>Haiti</v>
      </c>
      <c r="K24" s="95" t="n">
        <f aca="false">L24+M24+N24</f>
        <v>1</v>
      </c>
      <c r="L24" s="95" t="n">
        <f aca="false">VLOOKUP(4,AD20:AN23,3,FALSE())</f>
        <v>0</v>
      </c>
      <c r="M24" s="95" t="n">
        <f aca="false">VLOOKUP(4,AD20:AN23,4,FALSE())</f>
        <v>0</v>
      </c>
      <c r="N24" s="95" t="n">
        <f aca="false">VLOOKUP(4,AD20:AN23,5,FALSE())</f>
        <v>1</v>
      </c>
      <c r="O24" s="95" t="str">
        <f aca="false">VLOOKUP(4,AD20:AN23,6,FALSE()) &amp; " - " &amp; VLOOKUP(4,AD20:AN23,7,FALSE())</f>
        <v>0 - 1</v>
      </c>
      <c r="P24" s="96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2</v>
      </c>
      <c r="AI24" s="42" t="n">
        <f aca="false">MAX(AI20:AI23)+1</f>
        <v>2</v>
      </c>
      <c r="AL24" s="42" t="n">
        <f aca="false">MIN(AL20:AL23)</f>
        <v>-1</v>
      </c>
      <c r="AM24" s="42" t="n">
        <f aca="false">MAX(AM20:AM23)+1</f>
        <v>3</v>
      </c>
      <c r="AN24" s="42" t="n">
        <f aca="false">MAX(AN20:AN23)+1</f>
        <v>4</v>
      </c>
      <c r="AO24" s="42" t="n">
        <f aca="false">MAX(AO20:AO23)+1</f>
        <v>8.5</v>
      </c>
      <c r="AP24" s="42" t="n">
        <f aca="false">MAX(AP20:AP23)+1</f>
        <v>75000008.1674158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7"/>
      <c r="CE24" s="98"/>
      <c r="CF24" s="83"/>
      <c r="CG24" s="88" t="str">
        <f aca="false">IF(CD32&gt;CD33,BZ32,IF(CD32&lt;CD33,BZ33,""))</f>
        <v/>
      </c>
      <c r="CH24" s="89"/>
      <c r="CI24" s="90"/>
      <c r="CJ24" s="91"/>
      <c r="CK24" s="92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79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2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7"/>
      <c r="CE25" s="47"/>
      <c r="CF25" s="74"/>
      <c r="CG25" s="74"/>
      <c r="CH25" s="74"/>
      <c r="CI25" s="74"/>
      <c r="CJ25" s="74"/>
      <c r="CK25" s="97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79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1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4</v>
      </c>
      <c r="AJ26" s="42" t="n">
        <f aca="false">SUMIF($E$7:$E$78,$AE26,$G$7:$G$78) + SUMIF($H$7:$H$78,$AE26,$F$7:$F$78)</f>
        <v>1</v>
      </c>
      <c r="AL26" s="42" t="n">
        <f aca="false">AI26-AJ26</f>
        <v>3</v>
      </c>
      <c r="AM26" s="42" t="n">
        <f aca="false">AL26-AL30</f>
        <v>6</v>
      </c>
      <c r="AN26" s="42" t="n">
        <f aca="false">AF26*3+AG26</f>
        <v>3</v>
      </c>
      <c r="AO26" s="42" t="n">
        <f aca="false">AN26/AN30*10+BA26</f>
        <v>7.5</v>
      </c>
      <c r="AP26" s="42" t="n">
        <f aca="false">AO26*10000000+BI26*100+AM26/AM30*10+AI26/AI30*1++IF(AQ26=0,ROW(),AQ26)/2000000</f>
        <v>75000009.3722651</v>
      </c>
      <c r="AQ26" s="46" t="n">
        <f aca="false">VLOOKUP(AE26,db_fifarank,2,FALSE())</f>
        <v>1673.13</v>
      </c>
      <c r="AR26" s="45" t="n">
        <f aca="false">AP26/AP30</f>
        <v>0.999999986666669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3" t="n">
        <v>83</v>
      </c>
      <c r="BL26" s="84" t="str">
        <f aca="false">AS69</f>
        <v>2K</v>
      </c>
      <c r="BM26" s="85"/>
      <c r="BN26" s="86"/>
      <c r="BO26" s="87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7"/>
      <c r="CE26" s="47"/>
      <c r="CF26" s="74"/>
      <c r="CG26" s="74"/>
      <c r="CH26" s="74"/>
      <c r="CI26" s="74"/>
      <c r="CJ26" s="74"/>
      <c r="CK26" s="97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79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1</v>
      </c>
      <c r="L27" s="76" t="n">
        <f aca="false">VLOOKUP(1,AD26:AN29,3,FALSE())</f>
        <v>1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4 - 1</v>
      </c>
      <c r="P27" s="77" t="n">
        <f aca="false">L27*3+M27</f>
        <v>3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4</v>
      </c>
      <c r="AE27" s="44" t="str">
        <f aca="false">VLOOKUP("Paraguay",T,lang,FALSE())</f>
        <v>Paraguay</v>
      </c>
      <c r="AF27" s="42" t="n">
        <f aca="false">COUNTIF($S$7:$T$78,"=" &amp; AE27 &amp; "_win")</f>
        <v>0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1</v>
      </c>
      <c r="AJ27" s="42" t="n">
        <f aca="false">SUMIF($E$7:$E$78,$AE27,$G$7:$G$78) + SUMIF($H$7:$H$78,$AE27,$F$7:$F$78)</f>
        <v>4</v>
      </c>
      <c r="AL27" s="42" t="n">
        <f aca="false">AI27-AJ27</f>
        <v>-3</v>
      </c>
      <c r="AM27" s="42" t="n">
        <f aca="false">AL27-AL30</f>
        <v>0</v>
      </c>
      <c r="AN27" s="42" t="n">
        <f aca="false">AF27*3+AG27</f>
        <v>0</v>
      </c>
      <c r="AO27" s="42" t="n">
        <f aca="false">AN27/AN30*10+BA27</f>
        <v>0</v>
      </c>
      <c r="AP27" s="42" t="n">
        <f aca="false">AO27*10000000+BI27*100+AM27/AM30*10+AI27/AI30*1++IF(AQ27=0,ROW(),AQ27)/2000000</f>
        <v>0.20075175</v>
      </c>
      <c r="AQ27" s="46" t="n">
        <f aca="false">VLOOKUP(AE27,db_fifarank,2,FALSE())</f>
        <v>1503.5</v>
      </c>
      <c r="AR27" s="45" t="n">
        <f aca="false">AP27/AP30</f>
        <v>2.67668962982221E-009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3"/>
      <c r="BL27" s="88" t="str">
        <f aca="false">AS75</f>
        <v>2L</v>
      </c>
      <c r="BM27" s="89"/>
      <c r="BN27" s="90"/>
      <c r="BO27" s="91"/>
      <c r="BP27" s="92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3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7"/>
      <c r="CE27" s="47"/>
      <c r="CF27" s="74"/>
      <c r="CG27" s="74"/>
      <c r="CH27" s="74"/>
      <c r="CI27" s="74"/>
      <c r="CJ27" s="74"/>
      <c r="CK27" s="97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80" t="str">
        <f aca="false">VLOOKUP(2,AD26:AN29,2,FALSE())</f>
        <v>Australia</v>
      </c>
      <c r="K28" s="81" t="n">
        <f aca="false">L28+M28+N28</f>
        <v>1</v>
      </c>
      <c r="L28" s="81" t="n">
        <f aca="false">VLOOKUP(2,AD26:AN29,3,FALSE())</f>
        <v>1</v>
      </c>
      <c r="M28" s="81" t="n">
        <f aca="false">VLOOKUP(2,AD26:AN29,4,FALSE())</f>
        <v>0</v>
      </c>
      <c r="N28" s="81" t="n">
        <f aca="false">VLOOKUP(2,AD26:AN29,5,FALSE())</f>
        <v>0</v>
      </c>
      <c r="O28" s="81" t="str">
        <f aca="false">VLOOKUP(2,AD26:AN29,6,FALSE()) &amp; " - " &amp; VLOOKUP(2,AD26:AN29,7,FALSE())</f>
        <v>2 - 0</v>
      </c>
      <c r="P28" s="82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0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0</v>
      </c>
      <c r="AL28" s="42" t="n">
        <f aca="false">AI28-AJ28</f>
        <v>2</v>
      </c>
      <c r="AM28" s="42" t="n">
        <f aca="false">AL28-AL30</f>
        <v>5</v>
      </c>
      <c r="AN28" s="42" t="n">
        <f aca="false">AF28*3+AG28</f>
        <v>3</v>
      </c>
      <c r="AO28" s="42" t="n">
        <f aca="false">AN28/AN30*10+BA28</f>
        <v>7.5</v>
      </c>
      <c r="AP28" s="42" t="n">
        <f aca="false">AO28*10000000+BI28*100+AM28/AM30*10+AI28/AI30*1++IF(AQ28=0,ROW(),AQ28)/2000000</f>
        <v>75000007.5436475</v>
      </c>
      <c r="AQ28" s="46" t="n">
        <f aca="false">VLOOKUP(AE28,db_fifarank,2,FALSE())</f>
        <v>1580.67</v>
      </c>
      <c r="AR28" s="45" t="n">
        <f aca="false">AP28/AP30</f>
        <v>0.999999962285103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7"/>
      <c r="BQ28" s="47"/>
      <c r="BR28" s="83" t="n">
        <v>93</v>
      </c>
      <c r="BS28" s="84" t="str">
        <f aca="false">IF(BP26&gt;BP27,BL26,IF(BP26&lt;BP27,BL27,""))</f>
        <v/>
      </c>
      <c r="BT28" s="85"/>
      <c r="BU28" s="86"/>
      <c r="BV28" s="87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7"/>
      <c r="CE28" s="47"/>
      <c r="CF28" s="74"/>
      <c r="CG28" s="74"/>
      <c r="CH28" s="74"/>
      <c r="CI28" s="74"/>
      <c r="CJ28" s="74"/>
      <c r="CK28" s="97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79" t="n">
        <v>1</v>
      </c>
      <c r="G29" s="69" t="n">
        <v>1</v>
      </c>
      <c r="H29" s="70" t="str">
        <f aca="false">AE69</f>
        <v>DR Congo</v>
      </c>
      <c r="J29" s="80" t="str">
        <f aca="false">VLOOKUP(3,AD26:AN29,2,FALSE())</f>
        <v>Turkey</v>
      </c>
      <c r="K29" s="81" t="n">
        <f aca="false">L29+M29+N29</f>
        <v>1</v>
      </c>
      <c r="L29" s="81" t="n">
        <f aca="false">VLOOKUP(3,AD26:AN29,3,FALSE())</f>
        <v>0</v>
      </c>
      <c r="M29" s="81" t="n">
        <f aca="false">VLOOKUP(3,AD26:AN29,4,FALSE())</f>
        <v>0</v>
      </c>
      <c r="N29" s="81" t="n">
        <f aca="false">VLOOKUP(3,AD26:AN29,5,FALSE())</f>
        <v>1</v>
      </c>
      <c r="O29" s="81" t="str">
        <f aca="false">VLOOKUP(3,AD26:AN29,6,FALSE()) &amp; " - " &amp; VLOOKUP(3,AD26:AN29,7,FALSE())</f>
        <v>0 - 2</v>
      </c>
      <c r="P29" s="82" t="n">
        <f aca="false">L29*3+M29</f>
        <v>0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1</v>
      </c>
      <c r="V29" s="42" t="n">
        <f aca="false">U29*F29</f>
        <v>1</v>
      </c>
      <c r="W29" s="42" t="n">
        <f aca="false">U29*G29</f>
        <v>1</v>
      </c>
      <c r="X29" s="42" t="n">
        <f aca="false">IF(S29="",0,IF(VLOOKUP(E29,$AE$8:$AO$77,11,FALSE())=VLOOKUP(H29,$AE$8:$AO$77,11,FALSE()),1,0))</f>
        <v>1</v>
      </c>
      <c r="Y29" s="42" t="n">
        <f aca="false">X29*F29</f>
        <v>1</v>
      </c>
      <c r="Z29" s="42" t="n">
        <f aca="false">X29*G29</f>
        <v>1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3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1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2</v>
      </c>
      <c r="AL29" s="42" t="n">
        <f aca="false">AI29-AJ29</f>
        <v>-2</v>
      </c>
      <c r="AM29" s="42" t="n">
        <f aca="false">AL29-AL30</f>
        <v>1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1.42937094857143</v>
      </c>
      <c r="AQ29" s="46" t="n">
        <f aca="false">VLOOKUP(AE29,db_fifarank,2,FALSE())</f>
        <v>1599.04</v>
      </c>
      <c r="AR29" s="45" t="n">
        <f aca="false">AP29/AP30</f>
        <v>1.90582766785857E-008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3"/>
      <c r="BP29" s="97" t="n">
        <f aca="false">DATE(2026,7,2)+TIME(8,0,0)+gmt_delta</f>
        <v>46205.625</v>
      </c>
      <c r="BQ29" s="98"/>
      <c r="BR29" s="83"/>
      <c r="BS29" s="88" t="str">
        <f aca="false">IF(BP30&gt;BP31,BL30,IF(BP30&lt;BP31,BL31,""))</f>
        <v/>
      </c>
      <c r="BT29" s="89"/>
      <c r="BU29" s="90"/>
      <c r="BV29" s="91"/>
      <c r="BW29" s="92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7"/>
      <c r="CE29" s="47"/>
      <c r="CF29" s="74"/>
      <c r="CG29" s="74"/>
      <c r="CH29" s="74"/>
      <c r="CI29" s="74"/>
      <c r="CJ29" s="74"/>
      <c r="CK29" s="97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79" t="n">
        <v>1</v>
      </c>
      <c r="G30" s="69" t="n">
        <v>3</v>
      </c>
      <c r="H30" s="70" t="str">
        <f aca="false">AE71</f>
        <v>Colombia</v>
      </c>
      <c r="J30" s="94" t="str">
        <f aca="false">VLOOKUP(4,AD26:AN29,2,FALSE())</f>
        <v>Paraguay</v>
      </c>
      <c r="K30" s="95" t="n">
        <f aca="false">L30+M30+N30</f>
        <v>1</v>
      </c>
      <c r="L30" s="95" t="n">
        <f aca="false">VLOOKUP(4,AD26:AN29,3,FALSE())</f>
        <v>0</v>
      </c>
      <c r="M30" s="95" t="n">
        <f aca="false">VLOOKUP(4,AD26:AN29,4,FALSE())</f>
        <v>0</v>
      </c>
      <c r="N30" s="95" t="n">
        <f aca="false">VLOOKUP(4,AD26:AN29,5,FALSE())</f>
        <v>1</v>
      </c>
      <c r="O30" s="95" t="str">
        <f aca="false">VLOOKUP(4,AD26:AN29,6,FALSE()) &amp; " - " &amp; VLOOKUP(4,AD26:AN29,7,FALSE())</f>
        <v>1 - 4</v>
      </c>
      <c r="P30" s="96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1</v>
      </c>
      <c r="AH30" s="42" t="n">
        <f aca="false">MAX(AH26:AH29)-MIN(AH26:AH29)+1</f>
        <v>2</v>
      </c>
      <c r="AI30" s="42" t="n">
        <f aca="false">MAX(AI26:AI29)+1</f>
        <v>5</v>
      </c>
      <c r="AL30" s="42" t="n">
        <f aca="false">MIN(AL26:AL29)</f>
        <v>-3</v>
      </c>
      <c r="AM30" s="42" t="n">
        <f aca="false">MAX(AM26:AM29)+1</f>
        <v>7</v>
      </c>
      <c r="AN30" s="42" t="n">
        <f aca="false">MAX(AN26:AN29)+1</f>
        <v>4</v>
      </c>
      <c r="AO30" s="42" t="n">
        <f aca="false">MAX(AO26:AO29)+1</f>
        <v>8.5</v>
      </c>
      <c r="AP30" s="42" t="n">
        <f aca="false">MAX(AP26:AP29)+1</f>
        <v>75000010.3722651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3" t="n">
        <v>84</v>
      </c>
      <c r="BL30" s="84" t="str">
        <f aca="false">AS50</f>
        <v>1H</v>
      </c>
      <c r="BM30" s="85"/>
      <c r="BN30" s="86"/>
      <c r="BO30" s="87"/>
      <c r="BP30" s="100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7"/>
      <c r="BX30" s="47"/>
      <c r="BY30" s="74"/>
      <c r="BZ30" s="74"/>
      <c r="CA30" s="74"/>
      <c r="CB30" s="74"/>
      <c r="CC30" s="74"/>
      <c r="CD30" s="97"/>
      <c r="CE30" s="47"/>
      <c r="CF30" s="74"/>
      <c r="CG30" s="74"/>
      <c r="CH30" s="74"/>
      <c r="CI30" s="74"/>
      <c r="CJ30" s="74"/>
      <c r="CK30" s="97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79"/>
      <c r="G31" s="69"/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/>
      </c>
      <c r="T31" s="43" t="str">
        <f aca="false">IF(S31="","",IF(F31&lt;G31,H31&amp;"_win",IF(F31&gt;G31,H31&amp;"_lose",H31&amp;"_draw")))</f>
        <v/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str">
        <f aca="false">IF(OR(F31="",G31=""),"",IF(F31&gt;G31,1,IF(F31&lt;G31,-1,0)))</f>
        <v/>
      </c>
      <c r="BK31" s="83"/>
      <c r="BL31" s="88" t="str">
        <f aca="false">AS63</f>
        <v>2J</v>
      </c>
      <c r="BM31" s="89"/>
      <c r="BN31" s="90"/>
      <c r="BO31" s="91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7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3"/>
      <c r="CD31" s="97" t="n">
        <f aca="false">DATE(2026,7,10)+TIME(8,0,0)+gmt_delta</f>
        <v>46213.625</v>
      </c>
      <c r="CE31" s="47"/>
      <c r="CK31" s="97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79"/>
      <c r="G32" s="69"/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/>
      </c>
      <c r="T32" s="43" t="str">
        <f aca="false">IF(S32="","",IF(F32&lt;G32,H32&amp;"_win",IF(F32&gt;G32,H32&amp;"_lose",H32&amp;"_draw")))</f>
        <v/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str">
        <f aca="false">IF(OR(F32="",G32=""),"",IF(F32&gt;G32,1,IF(F32&lt;G32,-1,0)))</f>
        <v/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1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7</v>
      </c>
      <c r="AJ32" s="42" t="n">
        <f aca="false">SUMIF($E$7:$E$78,$AE32,$G$7:$G$78) + SUMIF($H$7:$H$78,$AE32,$F$7:$F$78)</f>
        <v>1</v>
      </c>
      <c r="AL32" s="42" t="n">
        <f aca="false">AI32-AJ32</f>
        <v>6</v>
      </c>
      <c r="AM32" s="42" t="n">
        <f aca="false">AL32-AL36</f>
        <v>12</v>
      </c>
      <c r="AN32" s="42" t="n">
        <f aca="false">AF32*3+AG32</f>
        <v>3</v>
      </c>
      <c r="AO32" s="42" t="n">
        <f aca="false">AN32/AN36*10+BA32</f>
        <v>7.5</v>
      </c>
      <c r="AP32" s="42" t="n">
        <f aca="false">AO32*10000000+BI32*100+AM32/AM36*10+AI32/AI36*1++IF(AQ32=0,ROW(),AQ32)/2000000</f>
        <v>75000010.1066344</v>
      </c>
      <c r="AQ32" s="46" t="n">
        <f aca="false">VLOOKUP(AE32,db_fifarank,2,FALSE())</f>
        <v>1730.37</v>
      </c>
      <c r="AR32" s="45" t="n">
        <f aca="false">AP32/AP36</f>
        <v>0.999999986666669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7"/>
      <c r="BX32" s="47"/>
      <c r="BY32" s="83" t="n">
        <v>98</v>
      </c>
      <c r="BZ32" s="84" t="str">
        <f aca="false">IF(BW28&gt;BW29,BS28,IF(BW28&lt;BW29,BS29,""))</f>
        <v/>
      </c>
      <c r="CA32" s="85"/>
      <c r="CB32" s="86"/>
      <c r="CC32" s="87"/>
      <c r="CD32" s="100" t="str">
        <f aca="false">IF(OR(CA32="",CA33="",AND(CB32="",CB33&lt;&gt;""),AND(CB33="",CB32&lt;&gt;""),AND(CC32="",CC33&lt;&gt;""),AND(CC33="",CC32&lt;&gt;"")),"",CA32*1000+CB32*10+CC32)</f>
        <v/>
      </c>
      <c r="CE32" s="47"/>
      <c r="CK32" s="97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79"/>
      <c r="G33" s="69"/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1</v>
      </c>
      <c r="L33" s="76" t="n">
        <f aca="false">VLOOKUP(1,AD32:AN35,3,FALSE())</f>
        <v>1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7 - 1</v>
      </c>
      <c r="P33" s="77" t="n">
        <f aca="false">L33*3+M33</f>
        <v>3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/>
      </c>
      <c r="T33" s="43" t="str">
        <f aca="false">IF(S33="","",IF(F33&lt;G33,H33&amp;"_win",IF(F33&gt;G33,H33&amp;"_lose",H33&amp;"_draw")))</f>
        <v/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str">
        <f aca="false">IF(OR(F33="",G33=""),"",IF(F33&gt;G33,1,IF(F33&lt;G33,-1,0)))</f>
        <v/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0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0</v>
      </c>
      <c r="AO33" s="42" t="n">
        <f aca="false">AN33/AN36*10+BA33</f>
        <v>0</v>
      </c>
      <c r="AP33" s="42" t="n">
        <f aca="false">AO33*10000000+BI33*100+AM33/AM36*10+AI33/AI36*1++IF(AQ33=0,ROW(),AQ33)/2000000</f>
        <v>0.125647325</v>
      </c>
      <c r="AQ33" s="46" t="n">
        <f aca="false">VLOOKUP(AE33,db_fifarank,2,FALSE())</f>
        <v>1294.65</v>
      </c>
      <c r="AR33" s="45" t="n">
        <f aca="false">AP33/AP36</f>
        <v>1.67529741857445E-009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0</v>
      </c>
      <c r="BA33" s="46" t="n">
        <f aca="false">AZ33/AZ36</f>
        <v>0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3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7"/>
      <c r="BX33" s="98"/>
      <c r="BY33" s="83"/>
      <c r="BZ33" s="88" t="str">
        <f aca="false">IF(BW36&gt;BW37,BS36,IF(BW36&lt;BW37,BS37,""))</f>
        <v/>
      </c>
      <c r="CA33" s="89"/>
      <c r="CB33" s="90"/>
      <c r="CC33" s="91"/>
      <c r="CD33" s="47" t="str">
        <f aca="false">IF(CD32="","",CA33*1000+CB33*10+CC33)</f>
        <v/>
      </c>
      <c r="CE33" s="47"/>
      <c r="CK33" s="97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79"/>
      <c r="G34" s="69"/>
      <c r="H34" s="70" t="str">
        <f aca="false">AE10</f>
        <v>Korea Republic</v>
      </c>
      <c r="J34" s="80" t="str">
        <f aca="false">VLOOKUP(2,AD32:AN35,2,FALSE())</f>
        <v>Ivory Coast</v>
      </c>
      <c r="K34" s="81" t="n">
        <f aca="false">L34+M34+N34</f>
        <v>1</v>
      </c>
      <c r="L34" s="81" t="n">
        <f aca="false">VLOOKUP(2,AD32:AN35,3,FALSE())</f>
        <v>1</v>
      </c>
      <c r="M34" s="81" t="n">
        <f aca="false">VLOOKUP(2,AD32:AN35,4,FALSE())</f>
        <v>0</v>
      </c>
      <c r="N34" s="81" t="n">
        <f aca="false">VLOOKUP(2,AD32:AN35,5,FALSE())</f>
        <v>0</v>
      </c>
      <c r="O34" s="81" t="str">
        <f aca="false">VLOOKUP(2,AD32:AN35,6,FALSE()) &amp; " - " &amp; VLOOKUP(2,AD32:AN35,7,FALSE())</f>
        <v>1 - 0</v>
      </c>
      <c r="P34" s="82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/>
      </c>
      <c r="T34" s="43" t="str">
        <f aca="false">IF(S34="","",IF(F34&lt;G34,H34&amp;"_win",IF(F34&gt;G34,H34&amp;"_lose",H34&amp;"_draw")))</f>
        <v/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str">
        <f aca="false">IF(OR(F34="",G34=""),"",IF(F34&gt;G34,1,IF(F34&lt;G34,-1,0)))</f>
        <v/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0</v>
      </c>
      <c r="AI34" s="42" t="n">
        <f aca="false">SUMIF($E$7:$E$78,$AE34,$F$7:$F$78) + SUMIF($H$7:$H$78,$AE34,$G$7:$G$78)</f>
        <v>1</v>
      </c>
      <c r="AJ34" s="42" t="n">
        <f aca="false">SUMIF($E$7:$E$78,$AE34,$G$7:$G$78) + SUMIF($H$7:$H$78,$AE34,$F$7:$F$78)</f>
        <v>0</v>
      </c>
      <c r="AL34" s="42" t="n">
        <f aca="false">AI34-AJ34</f>
        <v>1</v>
      </c>
      <c r="AM34" s="42" t="n">
        <f aca="false">AL34-AL36</f>
        <v>7</v>
      </c>
      <c r="AN34" s="42" t="n">
        <f aca="false">AF34*3+AG34</f>
        <v>3</v>
      </c>
      <c r="AO34" s="42" t="n">
        <f aca="false">AN34/AN36*10+BA34</f>
        <v>7.5</v>
      </c>
      <c r="AP34" s="42" t="n">
        <f aca="false">AO34*10000000+BI34*100+AM34/AM36*10+AI34/AI36*1++IF(AQ34=0,ROW(),AQ34)/2000000</f>
        <v>75000005.5103819</v>
      </c>
      <c r="AQ34" s="46" t="n">
        <f aca="false">VLOOKUP(AE34,db_fifarank,2,FALSE())</f>
        <v>1532.98</v>
      </c>
      <c r="AR34" s="45" t="n">
        <f aca="false">AP34/AP36</f>
        <v>0.99999992538331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3" t="n">
        <v>81</v>
      </c>
      <c r="BL34" s="84" t="str">
        <f aca="false">AS26</f>
        <v>1D</v>
      </c>
      <c r="BM34" s="85"/>
      <c r="BN34" s="86"/>
      <c r="BO34" s="87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7"/>
      <c r="BX34" s="47"/>
      <c r="BY34" s="74"/>
      <c r="BZ34" s="74"/>
      <c r="CA34" s="74"/>
      <c r="CB34" s="74"/>
      <c r="CC34" s="74"/>
      <c r="CD34" s="47"/>
      <c r="CE34" s="47"/>
      <c r="CK34" s="97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79"/>
      <c r="G35" s="69"/>
      <c r="H35" s="70" t="str">
        <f aca="false">AE22</f>
        <v>Haiti</v>
      </c>
      <c r="J35" s="80" t="str">
        <f aca="false">VLOOKUP(3,AD32:AN35,2,FALSE())</f>
        <v>Ecuador</v>
      </c>
      <c r="K35" s="81" t="n">
        <f aca="false">L35+M35+N35</f>
        <v>1</v>
      </c>
      <c r="L35" s="81" t="n">
        <f aca="false">VLOOKUP(3,AD32:AN35,3,FALSE())</f>
        <v>0</v>
      </c>
      <c r="M35" s="81" t="n">
        <f aca="false">VLOOKUP(3,AD32:AN35,4,FALSE())</f>
        <v>0</v>
      </c>
      <c r="N35" s="81" t="n">
        <f aca="false">VLOOKUP(3,AD32:AN35,5,FALSE())</f>
        <v>1</v>
      </c>
      <c r="O35" s="81" t="str">
        <f aca="false">VLOOKUP(3,AD32:AN35,6,FALSE()) &amp; " - " &amp; VLOOKUP(3,AD32:AN35,7,FALSE())</f>
        <v>0 - 1</v>
      </c>
      <c r="P35" s="82" t="n">
        <f aca="false">L35*3+M35</f>
        <v>0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/>
      </c>
      <c r="T35" s="43" t="str">
        <f aca="false">IF(S35="","",IF(F35&lt;G35,H35&amp;"_win",IF(F35&gt;G35,H35&amp;"_lose",H35&amp;"_draw")))</f>
        <v/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str">
        <f aca="false">IF(OR(F35="",G35=""),"",IF(F35&gt;G35,1,IF(F35&lt;G35,-1,0)))</f>
        <v/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0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0</v>
      </c>
      <c r="AO35" s="42" t="n">
        <f aca="false">AN35/AN36*10+BA35</f>
        <v>0</v>
      </c>
      <c r="AP35" s="42" t="n">
        <f aca="false">AO35*10000000+BI35*100+AM35/AM36*10+AI35/AI36*1++IF(AQ35=0,ROW(),AQ35)/2000000</f>
        <v>3.84695123615385</v>
      </c>
      <c r="AQ35" s="46" t="n">
        <f aca="false">VLOOKUP(AE35,db_fifarank,2,FALSE())</f>
        <v>1594.78</v>
      </c>
      <c r="AR35" s="45" t="n">
        <f aca="false">AP35/AP36</f>
        <v>5.12926755528647E-008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0</v>
      </c>
      <c r="BA35" s="46" t="n">
        <f aca="false">AZ35/AZ36</f>
        <v>0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3"/>
      <c r="BL35" s="88" t="str">
        <f aca="false">IF(group_round_completed,VLOOKUP('3rd places'!F3,AK80:AS91,9,FALSE()),"3rd Group B/E/F/I/J")</f>
        <v>3rd Group B/E/F/I/J</v>
      </c>
      <c r="BM35" s="89"/>
      <c r="BN35" s="90"/>
      <c r="BO35" s="91"/>
      <c r="BP35" s="92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3"/>
      <c r="BW35" s="97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7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79"/>
      <c r="G36" s="69"/>
      <c r="H36" s="70" t="str">
        <f aca="false">AE21</f>
        <v>Morocco</v>
      </c>
      <c r="J36" s="94" t="str">
        <f aca="false">VLOOKUP(4,AD32:AN35,2,FALSE())</f>
        <v>Curaçao</v>
      </c>
      <c r="K36" s="95" t="n">
        <f aca="false">L36+M36+N36</f>
        <v>1</v>
      </c>
      <c r="L36" s="95" t="n">
        <f aca="false">VLOOKUP(4,AD32:AN35,3,FALSE())</f>
        <v>0</v>
      </c>
      <c r="M36" s="95" t="n">
        <f aca="false">VLOOKUP(4,AD32:AN35,4,FALSE())</f>
        <v>0</v>
      </c>
      <c r="N36" s="95" t="n">
        <f aca="false">VLOOKUP(4,AD32:AN35,5,FALSE())</f>
        <v>1</v>
      </c>
      <c r="O36" s="95" t="str">
        <f aca="false">VLOOKUP(4,AD32:AN35,6,FALSE()) &amp; " - " &amp; VLOOKUP(4,AD32:AN35,7,FALSE())</f>
        <v>1 - 7</v>
      </c>
      <c r="P36" s="96" t="n">
        <f aca="false">L36*3+M36</f>
        <v>0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/>
      </c>
      <c r="T36" s="43" t="str">
        <f aca="false">IF(S36="","",IF(F36&lt;G36,H36&amp;"_win",IF(F36&gt;G36,H36&amp;"_lose",H36&amp;"_draw")))</f>
        <v/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str">
        <f aca="false">IF(OR(F36="",G36=""),"",IF(F36&gt;G36,1,IF(F36&lt;G36,-1,0)))</f>
        <v/>
      </c>
      <c r="AF36" s="42" t="n">
        <f aca="false">MAX(AF32:AF35)-MIN(AF32:AF35)+1</f>
        <v>2</v>
      </c>
      <c r="AG36" s="42" t="n">
        <f aca="false">MAX(AG32:AG35)-MIN(AG32:AG35)+1</f>
        <v>1</v>
      </c>
      <c r="AH36" s="42" t="n">
        <f aca="false">MAX(AH32:AH35)-MIN(AH32:AH35)+1</f>
        <v>2</v>
      </c>
      <c r="AI36" s="42" t="n">
        <f aca="false">MAX(AI32:AI35)+1</f>
        <v>8</v>
      </c>
      <c r="AL36" s="42" t="n">
        <f aca="false">MIN(AL32:AL35)</f>
        <v>-6</v>
      </c>
      <c r="AM36" s="42" t="n">
        <f aca="false">MAX(AM32:AM35)+1</f>
        <v>13</v>
      </c>
      <c r="AN36" s="42" t="n">
        <f aca="false">MAX(AN32:AN35)+1</f>
        <v>4</v>
      </c>
      <c r="AO36" s="42" t="n">
        <f aca="false">MAX(AO32:AO35)+1</f>
        <v>8.5</v>
      </c>
      <c r="AP36" s="42" t="n">
        <f aca="false">MAX(AP32:AP35)+1</f>
        <v>75000011.1066344</v>
      </c>
      <c r="AT36" s="46" t="n">
        <f aca="false">MAX(AT32:AT35)-MIN(AT32:AT35)+1</f>
        <v>1</v>
      </c>
      <c r="AU36" s="46" t="n">
        <f aca="false">MAX(AU32:AU35)-MIN(AU32:AU35)+1</f>
        <v>1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1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7"/>
      <c r="BQ36" s="47"/>
      <c r="BR36" s="83" t="n">
        <v>94</v>
      </c>
      <c r="BS36" s="84" t="str">
        <f aca="false">IF(BP34&gt;BP35,BL34,IF(BP34&lt;BP35,BL35,""))</f>
        <v/>
      </c>
      <c r="BT36" s="85"/>
      <c r="BU36" s="86"/>
      <c r="BV36" s="87"/>
      <c r="BW36" s="100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7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3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79"/>
      <c r="G37" s="69"/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/>
      </c>
      <c r="T37" s="43" t="str">
        <f aca="false">IF(S37="","",IF(F37&lt;G37,H37&amp;"_win",IF(F37&gt;G37,H37&amp;"_lose",H37&amp;"_draw")))</f>
        <v/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str">
        <f aca="false">IF(OR(F37="",G37=""),"",IF(F37&gt;G37,1,IF(F37&lt;G37,-1,0)))</f>
        <v/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3"/>
      <c r="BP37" s="97" t="n">
        <f aca="false">DATE(2026,7,1)+TIME(9,0,0)+gmt_delta</f>
        <v>46204.6666666667</v>
      </c>
      <c r="BQ37" s="98"/>
      <c r="BR37" s="83"/>
      <c r="BS37" s="88" t="str">
        <f aca="false">IF(BP38&gt;BP39,BL38,IF(BP38&lt;BP39,BL39,""))</f>
        <v/>
      </c>
      <c r="BT37" s="89"/>
      <c r="BU37" s="90"/>
      <c r="BV37" s="91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7"/>
      <c r="CL37" s="47"/>
      <c r="CM37" s="83" t="n">
        <v>104</v>
      </c>
      <c r="CN37" s="84" t="str">
        <f aca="false">IF(CK23&gt;CK24,CG23,IF(CK23&lt;CK24,CG24,""))</f>
        <v/>
      </c>
      <c r="CO37" s="85"/>
      <c r="CP37" s="86"/>
      <c r="CQ37" s="87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79"/>
      <c r="G38" s="69"/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/>
      </c>
      <c r="T38" s="43" t="str">
        <f aca="false">IF(S38="","",IF(F38&lt;G38,H38&amp;"_win",IF(F38&gt;G38,H38&amp;"_lose",H38&amp;"_draw")))</f>
        <v/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str">
        <f aca="false">IF(OR(F38="",G38=""),"",IF(F38&gt;G38,1,IF(F38&lt;G38,-1,0)))</f>
        <v/>
      </c>
      <c r="AD38" s="42" t="n">
        <f aca="false">COUNTIF(AR38:AR41,CONCATENATE("&gt;=",AR38))</f>
        <v>2</v>
      </c>
      <c r="AE38" s="44" t="str">
        <f aca="false">VLOOKUP("Netherlands",T,lang,FALSE())</f>
        <v>Netherlands</v>
      </c>
      <c r="AF38" s="42" t="n">
        <f aca="false">COUNTIF($S$7:$T$78,"=" &amp; AE38 &amp; "_win")</f>
        <v>0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2</v>
      </c>
      <c r="AJ38" s="42" t="n">
        <f aca="false">SUMIF($E$7:$E$78,$AE38,$G$7:$G$78) + SUMIF($H$7:$H$78,$AE38,$F$7:$F$78)</f>
        <v>2</v>
      </c>
      <c r="AL38" s="42" t="n">
        <f aca="false">AI38-AJ38</f>
        <v>0</v>
      </c>
      <c r="AM38" s="42" t="n">
        <f aca="false">AL38-AL42</f>
        <v>4</v>
      </c>
      <c r="AN38" s="42" t="n">
        <f aca="false">AF38*3+AG38</f>
        <v>1</v>
      </c>
      <c r="AO38" s="42" t="n">
        <f aca="false">AN38/AN42*10+BA38</f>
        <v>3.48064516129032</v>
      </c>
      <c r="AP38" s="42" t="n">
        <f aca="false">AO38*10000000+BI38*100+AM38/AM42*10+AI38/AI42*1++IF(AQ38=0,ROW(),AQ38)/2000000</f>
        <v>34806554.4560761</v>
      </c>
      <c r="AQ38" s="46" t="n">
        <f aca="false">VLOOKUP(AE38,db_fifarank,2,FALSE())</f>
        <v>1757.87</v>
      </c>
      <c r="AR38" s="45" t="n">
        <f aca="false">AP38/AP42</f>
        <v>0.464087326395695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3" t="n">
        <v>82</v>
      </c>
      <c r="BL38" s="84" t="str">
        <f aca="false">AS44</f>
        <v>1G</v>
      </c>
      <c r="BM38" s="85"/>
      <c r="BN38" s="86"/>
      <c r="BO38" s="87"/>
      <c r="BP38" s="100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8"/>
      <c r="CM38" s="83"/>
      <c r="CN38" s="88" t="str">
        <f aca="false">IF(CK55&gt;CK56,CG55,IF(CK55&lt;CK56,CG56,""))</f>
        <v/>
      </c>
      <c r="CO38" s="89"/>
      <c r="CP38" s="90"/>
      <c r="CQ38" s="91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79"/>
      <c r="G39" s="69"/>
      <c r="H39" s="70" t="str">
        <f aca="false">AE34</f>
        <v>Ivory Coast</v>
      </c>
      <c r="J39" s="75" t="str">
        <f aca="false">VLOOKUP(1,AD38:AN41,2,FALSE())</f>
        <v>Sweden</v>
      </c>
      <c r="K39" s="76" t="n">
        <f aca="false">L39+M39+N39</f>
        <v>1</v>
      </c>
      <c r="L39" s="76" t="n">
        <f aca="false">VLOOKUP(1,AD38:AN41,3,FALSE())</f>
        <v>1</v>
      </c>
      <c r="M39" s="76" t="n">
        <f aca="false">VLOOKUP(1,AD38:AN41,4,FALSE())</f>
        <v>0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5 - 1</v>
      </c>
      <c r="P39" s="77" t="n">
        <f aca="false">L39*3+M39</f>
        <v>3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/>
      </c>
      <c r="T39" s="43" t="str">
        <f aca="false">IF(S39="","",IF(F39&lt;G39,H39&amp;"_win",IF(F39&gt;G39,H39&amp;"_lose",H39&amp;"_draw")))</f>
        <v/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str">
        <f aca="false">IF(OR(F39="",G39=""),"",IF(F39&gt;G39,1,IF(F39&lt;G39,-1,0)))</f>
        <v/>
      </c>
      <c r="AD39" s="42" t="n">
        <f aca="false">COUNTIF(AR38:AR41,CONCATENATE("&gt;=",AR39))</f>
        <v>3</v>
      </c>
      <c r="AE39" s="44" t="str">
        <f aca="false">VLOOKUP("Japan",T,lang,FALSE())</f>
        <v>Japan</v>
      </c>
      <c r="AF39" s="42" t="n">
        <f aca="false">COUNTIF($S$7:$T$78,"=" &amp; AE39 &amp; "_win")</f>
        <v>0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2</v>
      </c>
      <c r="AJ39" s="42" t="n">
        <f aca="false">SUMIF($E$7:$E$78,$AE39,$G$7:$G$78) + SUMIF($H$7:$H$78,$AE39,$F$7:$F$78)</f>
        <v>2</v>
      </c>
      <c r="AL39" s="42" t="n">
        <f aca="false">AI39-AJ39</f>
        <v>0</v>
      </c>
      <c r="AM39" s="42" t="n">
        <f aca="false">AL39-AL42</f>
        <v>4</v>
      </c>
      <c r="AN39" s="42" t="n">
        <f aca="false">AF39*3+AG39</f>
        <v>1</v>
      </c>
      <c r="AO39" s="42" t="n">
        <f aca="false">AN39/AN42*10+BA39</f>
        <v>3.48064516129032</v>
      </c>
      <c r="AP39" s="42" t="n">
        <f aca="false">AO39*10000000+BI39*100+AM39/AM42*10+AI39/AI42*1++IF(AQ39=0,ROW(),AQ39)/2000000</f>
        <v>34806554.4560274</v>
      </c>
      <c r="AQ39" s="46" t="n">
        <f aca="false">VLOOKUP(AE39,db_fifarank,2,FALSE())</f>
        <v>1660.43</v>
      </c>
      <c r="AR39" s="45" t="n">
        <f aca="false">AP39/AP42</f>
        <v>0.464087326395046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3"/>
      <c r="BL39" s="88" t="str">
        <f aca="false">IF(group_round_completed,VLOOKUP('3rd places'!H3,AK80:AS91,9,FALSE()),"3rd Group A/E/H/I/J")</f>
        <v>3rd Group A/E/H/I/J</v>
      </c>
      <c r="BM39" s="89"/>
      <c r="BN39" s="90"/>
      <c r="BO39" s="91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7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79"/>
      <c r="G40" s="69"/>
      <c r="H40" s="70" t="str">
        <f aca="false">AE33</f>
        <v>Curaçao</v>
      </c>
      <c r="J40" s="80" t="str">
        <f aca="false">VLOOKUP(2,AD38:AN41,2,FALSE())</f>
        <v>Netherlands</v>
      </c>
      <c r="K40" s="81" t="n">
        <f aca="false">L40+M40+N40</f>
        <v>1</v>
      </c>
      <c r="L40" s="81" t="n">
        <f aca="false">VLOOKUP(2,AD38:AN41,3,FALSE())</f>
        <v>0</v>
      </c>
      <c r="M40" s="81" t="n">
        <f aca="false">VLOOKUP(2,AD38:AN41,4,FALSE())</f>
        <v>1</v>
      </c>
      <c r="N40" s="81" t="n">
        <f aca="false">VLOOKUP(2,AD38:AN41,5,FALSE())</f>
        <v>0</v>
      </c>
      <c r="O40" s="81" t="str">
        <f aca="false">VLOOKUP(2,AD38:AN41,6,FALSE()) &amp; " - " &amp; VLOOKUP(2,AD38:AN41,7,FALSE())</f>
        <v>2 - 2</v>
      </c>
      <c r="P40" s="82" t="n">
        <f aca="false">L40*3+M40</f>
        <v>1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/>
      </c>
      <c r="T40" s="43" t="str">
        <f aca="false">IF(S40="","",IF(F40&lt;G40,H40&amp;"_win",IF(F40&gt;G40,H40&amp;"_lose",H40&amp;"_draw")))</f>
        <v/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str">
        <f aca="false">IF(OR(F40="",G40=""),"",IF(F40&gt;G40,1,IF(F40&lt;G40,-1,0)))</f>
        <v/>
      </c>
      <c r="AD40" s="42" t="n">
        <f aca="false">COUNTIF(AR38:AR41,CONCATENATE("&gt;=",AR40))</f>
        <v>1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0</v>
      </c>
      <c r="AI40" s="42" t="n">
        <f aca="false">SUMIF($E$7:$E$78,$AE40,$F$7:$F$78) + SUMIF($H$7:$H$78,$AE40,$G$7:$G$78)</f>
        <v>5</v>
      </c>
      <c r="AJ40" s="42" t="n">
        <f aca="false">SUMIF($E$7:$E$78,$AE40,$G$7:$G$78) + SUMIF($H$7:$H$78,$AE40,$F$7:$F$78)</f>
        <v>1</v>
      </c>
      <c r="AL40" s="42" t="n">
        <f aca="false">AI40-AJ40</f>
        <v>4</v>
      </c>
      <c r="AM40" s="42" t="n">
        <f aca="false">AL40-AL42</f>
        <v>8</v>
      </c>
      <c r="AN40" s="42" t="n">
        <f aca="false">AF40*3+AG40</f>
        <v>3</v>
      </c>
      <c r="AO40" s="42" t="n">
        <f aca="false">AN40/AN42*10+BA40</f>
        <v>7.5</v>
      </c>
      <c r="AP40" s="42" t="n">
        <f aca="false">AO40*10000000+BI40*100+AM40/AM42*10+AI40/AI42*1++IF(AQ40=0,ROW(),AQ40)/2000000</f>
        <v>75000009.7229796</v>
      </c>
      <c r="AQ40" s="46" t="n">
        <f aca="false">VLOOKUP(AE40,db_fifarank,2,FALSE())</f>
        <v>1514.77</v>
      </c>
      <c r="AR40" s="45" t="n">
        <f aca="false">AP40/AP42</f>
        <v>0.999999986666669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7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79"/>
      <c r="G41" s="69"/>
      <c r="H41" s="70" t="str">
        <f aca="false">AE40</f>
        <v>Sweden</v>
      </c>
      <c r="J41" s="80" t="str">
        <f aca="false">VLOOKUP(3,AD38:AN41,2,FALSE())</f>
        <v>Japan</v>
      </c>
      <c r="K41" s="81" t="n">
        <f aca="false">L41+M41+N41</f>
        <v>1</v>
      </c>
      <c r="L41" s="81" t="n">
        <f aca="false">VLOOKUP(3,AD38:AN41,3,FALSE())</f>
        <v>0</v>
      </c>
      <c r="M41" s="81" t="n">
        <f aca="false">VLOOKUP(3,AD38:AN41,4,FALSE())</f>
        <v>1</v>
      </c>
      <c r="N41" s="81" t="n">
        <f aca="false">VLOOKUP(3,AD38:AN41,5,FALSE())</f>
        <v>0</v>
      </c>
      <c r="O41" s="81" t="str">
        <f aca="false">VLOOKUP(3,AD38:AN41,6,FALSE()) &amp; " - " &amp; VLOOKUP(3,AD38:AN41,7,FALSE())</f>
        <v>2 - 2</v>
      </c>
      <c r="P41" s="82" t="n">
        <f aca="false">L41*3+M41</f>
        <v>1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/>
      </c>
      <c r="T41" s="43" t="str">
        <f aca="false">IF(S41="","",IF(F41&lt;G41,H41&amp;"_win",IF(F41&gt;G41,H41&amp;"_lose",H41&amp;"_draw")))</f>
        <v/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str">
        <f aca="false">IF(OR(F41="",G41=""),"",IF(F41&gt;G41,1,IF(F41&lt;G41,-1,0)))</f>
        <v/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1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5</v>
      </c>
      <c r="AL41" s="42" t="n">
        <f aca="false">AI41-AJ41</f>
        <v>-4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0.167408191666667</v>
      </c>
      <c r="AQ41" s="46" t="n">
        <f aca="false">VLOOKUP(AE41,db_fifarank,2,FALSE())</f>
        <v>1483.05</v>
      </c>
      <c r="AR41" s="45" t="n">
        <f aca="false">AP41/AP42</f>
        <v>2.23210890309078E-009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7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79"/>
      <c r="G42" s="69"/>
      <c r="H42" s="70" t="str">
        <f aca="false">AE39</f>
        <v>Japan</v>
      </c>
      <c r="J42" s="94" t="str">
        <f aca="false">VLOOKUP(4,AD38:AN41,2,FALSE())</f>
        <v>Tunisia</v>
      </c>
      <c r="K42" s="95" t="n">
        <f aca="false">L42+M42+N42</f>
        <v>1</v>
      </c>
      <c r="L42" s="95" t="n">
        <f aca="false">VLOOKUP(4,AD38:AN41,3,FALSE())</f>
        <v>0</v>
      </c>
      <c r="M42" s="95" t="n">
        <f aca="false">VLOOKUP(4,AD38:AN41,4,FALSE())</f>
        <v>0</v>
      </c>
      <c r="N42" s="95" t="n">
        <f aca="false">VLOOKUP(4,AD38:AN41,5,FALSE())</f>
        <v>1</v>
      </c>
      <c r="O42" s="95" t="str">
        <f aca="false">VLOOKUP(4,AD38:AN41,6,FALSE()) &amp; " - " &amp; VLOOKUP(4,AD38:AN41,7,FALSE())</f>
        <v>1 - 5</v>
      </c>
      <c r="P42" s="96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/>
      </c>
      <c r="T42" s="43" t="str">
        <f aca="false">IF(S42="","",IF(F42&lt;G42,H42&amp;"_win",IF(F42&gt;G42,H42&amp;"_lose",H42&amp;"_draw")))</f>
        <v/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str">
        <f aca="false">IF(OR(F42="",G42=""),"",IF(F42&gt;G42,1,IF(F42&lt;G42,-1,0)))</f>
        <v/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2</v>
      </c>
      <c r="AI42" s="42" t="n">
        <f aca="false">MAX(AI38:AI41)+1</f>
        <v>6</v>
      </c>
      <c r="AL42" s="42" t="n">
        <f aca="false">MIN(AL38:AL41)</f>
        <v>-4</v>
      </c>
      <c r="AM42" s="42" t="n">
        <f aca="false">MAX(AM38:AM41)+1</f>
        <v>9</v>
      </c>
      <c r="AN42" s="42" t="n">
        <f aca="false">MAX(AN38:AN41)+1</f>
        <v>4</v>
      </c>
      <c r="AO42" s="42" t="n">
        <f aca="false">MAX(AO38:AO41)+1</f>
        <v>8.5</v>
      </c>
      <c r="AP42" s="42" t="n">
        <f aca="false">MAX(AP38:AP41)+1</f>
        <v>75000010.7229796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3" t="n">
        <v>76</v>
      </c>
      <c r="BL42" s="84" t="str">
        <f aca="false">AS20</f>
        <v>1C</v>
      </c>
      <c r="BM42" s="85"/>
      <c r="BN42" s="86"/>
      <c r="BO42" s="87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7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79"/>
      <c r="G43" s="69"/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/>
      </c>
      <c r="T43" s="43" t="str">
        <f aca="false">IF(S43="","",IF(F43&lt;G43,H43&amp;"_win",IF(F43&gt;G43,H43&amp;"_lose",H43&amp;"_draw")))</f>
        <v/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str">
        <f aca="false">IF(OR(F43="",G43=""),"",IF(F43&gt;G43,1,IF(F43&lt;G43,-1,0)))</f>
        <v/>
      </c>
      <c r="BK43" s="83"/>
      <c r="BL43" s="88" t="str">
        <f aca="false">AS39</f>
        <v>2F</v>
      </c>
      <c r="BM43" s="89"/>
      <c r="BN43" s="90"/>
      <c r="BO43" s="91"/>
      <c r="BP43" s="92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3"/>
      <c r="BW43" s="47" t="n">
        <f aca="false">DATE(2026,7,5)+TIME(9,0,0)+gmt_delta</f>
        <v>46208.6666666667</v>
      </c>
      <c r="CK43" s="97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79"/>
      <c r="G44" s="69"/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/>
      </c>
      <c r="T44" s="43" t="str">
        <f aca="false">IF(S44="","",IF(F44&lt;G44,H44&amp;"_win",IF(F44&gt;G44,H44&amp;"_lose",H44&amp;"_draw")))</f>
        <v/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str">
        <f aca="false">IF(OR(F44="",G44=""),"",IF(F44&gt;G44,1,IF(F44&lt;G44,-1,0)))</f>
        <v/>
      </c>
      <c r="AD44" s="42" t="n">
        <f aca="false">COUNTIF(AR44:AR47,CONCATENATE("&gt;=",AR44))</f>
        <v>3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1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1</v>
      </c>
      <c r="AJ44" s="42" t="n">
        <f aca="false">SUMIF($E$7:$E$78,$AE44,$G$7:$G$78) + SUMIF($H$7:$H$78,$AE44,$F$7:$F$78)</f>
        <v>1</v>
      </c>
      <c r="AL44" s="42" t="n">
        <f aca="false">AI44-AJ44</f>
        <v>0</v>
      </c>
      <c r="AM44" s="42" t="n">
        <f aca="false">AL44-AL48</f>
        <v>0</v>
      </c>
      <c r="AN44" s="42" t="n">
        <f aca="false">AF44*3+AG44</f>
        <v>1</v>
      </c>
      <c r="AO44" s="42" t="n">
        <f aca="false">AN44/AN48*10+BA44</f>
        <v>5.98529411764706</v>
      </c>
      <c r="AP44" s="42" t="n">
        <f aca="false">AO44*10000000+BI44*100+AM44/AM48*10+AI44/AI48*1++IF(AQ44=0,ROW(),AQ44)/2000000</f>
        <v>59853040.040083</v>
      </c>
      <c r="AQ44" s="46" t="n">
        <f aca="false">VLOOKUP(AE44,db_fifarank,2,FALSE())</f>
        <v>1734.71</v>
      </c>
      <c r="AR44" s="45" t="n">
        <f aca="false">AP44/AP48</f>
        <v>0.999181640329085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100.5</v>
      </c>
      <c r="BA44" s="46" t="n">
        <f aca="false">AZ44/AZ48</f>
        <v>0.985294117647059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100.5</v>
      </c>
      <c r="BI44" s="46" t="n">
        <f aca="false">BH44/BH48</f>
        <v>0.985294117647059</v>
      </c>
      <c r="BK44" s="74"/>
      <c r="BL44" s="74"/>
      <c r="BM44" s="74"/>
      <c r="BN44" s="74"/>
      <c r="BO44" s="74"/>
      <c r="BP44" s="97"/>
      <c r="BQ44" s="47"/>
      <c r="BR44" s="83" t="n">
        <v>91</v>
      </c>
      <c r="BS44" s="84" t="str">
        <f aca="false">IF(BP42&gt;BP43,BL42,IF(BP42&lt;BP43,BL43,""))</f>
        <v/>
      </c>
      <c r="BT44" s="85"/>
      <c r="BU44" s="86"/>
      <c r="BV44" s="87"/>
      <c r="BW44" s="47" t="str">
        <f aca="false">IF(OR(BT44="",BT45="",AND(BU44="",BU45&lt;&gt;""),AND(BU45="",BU44&lt;&gt;""),AND(BV44="",BV45&lt;&gt;""),AND(BV45="",BV44&lt;&gt;"")),"",BT44*1000+BU44*10+BV44)</f>
        <v/>
      </c>
      <c r="CK44" s="97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79"/>
      <c r="G45" s="69"/>
      <c r="H45" s="70" t="str">
        <f aca="false">AE46</f>
        <v>Iran</v>
      </c>
      <c r="J45" s="75" t="str">
        <f aca="false">VLOOKUP(1,AD44:AN47,2,FALSE())</f>
        <v>Iran</v>
      </c>
      <c r="K45" s="76" t="n">
        <f aca="false">L45+M45+N45</f>
        <v>1</v>
      </c>
      <c r="L45" s="76" t="n">
        <f aca="false">VLOOKUP(1,AD44:AN47,3,FALSE())</f>
        <v>0</v>
      </c>
      <c r="M45" s="76" t="n">
        <f aca="false">VLOOKUP(1,AD44:AN47,4,FALSE())</f>
        <v>1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2 - 2</v>
      </c>
      <c r="P45" s="77" t="n">
        <f aca="false">L45*3+M45</f>
        <v>1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/>
      </c>
      <c r="T45" s="43" t="str">
        <f aca="false">IF(S45="","",IF(F45&lt;G45,H45&amp;"_win",IF(F45&gt;G45,H45&amp;"_lose",H45&amp;"_draw")))</f>
        <v/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str">
        <f aca="false">IF(OR(F45="",G45=""),"",IF(F45&gt;G45,1,IF(F45&lt;G45,-1,0)))</f>
        <v/>
      </c>
      <c r="AD45" s="42" t="n">
        <f aca="false">COUNTIF(AR44:AR47,CONCATENATE("&gt;=",AR45))</f>
        <v>4</v>
      </c>
      <c r="AE45" s="44" t="str">
        <f aca="false">VLOOKUP("Egypt",T,lang,FALSE())</f>
        <v>Egypt</v>
      </c>
      <c r="AF45" s="42" t="n">
        <f aca="false">COUNTIF($S$7:$T$78,"=" &amp; AE45 &amp; "_win")</f>
        <v>0</v>
      </c>
      <c r="AG45" s="42" t="n">
        <f aca="false">COUNTIF($S$7:$T$78,"=" &amp; AE45 &amp; "_draw")</f>
        <v>1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1</v>
      </c>
      <c r="AJ45" s="42" t="n">
        <f aca="false">SUMIF($E$7:$E$78,$AE45,$G$7:$G$78) + SUMIF($H$7:$H$78,$AE45,$F$7:$F$78)</f>
        <v>1</v>
      </c>
      <c r="AL45" s="42" t="n">
        <f aca="false">AI45-AJ45</f>
        <v>0</v>
      </c>
      <c r="AM45" s="42" t="n">
        <f aca="false">AL45-AL48</f>
        <v>0</v>
      </c>
      <c r="AN45" s="42" t="n">
        <f aca="false">AF45*3+AG45</f>
        <v>1</v>
      </c>
      <c r="AO45" s="42" t="n">
        <f aca="false">AN45/AN48*10+BA45</f>
        <v>5.98529411764706</v>
      </c>
      <c r="AP45" s="42" t="n">
        <f aca="false">AO45*10000000+BI45*100+AM45/AM48*10+AI45/AI48*1++IF(AQ45=0,ROW(),AQ45)/2000000</f>
        <v>59853040.0399973</v>
      </c>
      <c r="AQ45" s="46" t="n">
        <f aca="false">VLOOKUP(AE45,db_fifarank,2,FALSE())</f>
        <v>1563.24</v>
      </c>
      <c r="AR45" s="45" t="n">
        <f aca="false">AP45/AP48</f>
        <v>0.999181640327654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100.5</v>
      </c>
      <c r="BA45" s="46" t="n">
        <f aca="false">AZ45/AZ48</f>
        <v>0.985294117647059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100.5</v>
      </c>
      <c r="BI45" s="46" t="n">
        <f aca="false">BH45/BH48</f>
        <v>0.985294117647059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3"/>
      <c r="BP45" s="97" t="n">
        <f aca="false">DATE(2026,6,30)+TIME(6,0,0)+gmt_delta</f>
        <v>46203.5416666667</v>
      </c>
      <c r="BQ45" s="98"/>
      <c r="BR45" s="83"/>
      <c r="BS45" s="88" t="str">
        <f aca="false">IF(BP46&gt;BP47,BL46,IF(BP46&lt;BP47,BL47,""))</f>
        <v/>
      </c>
      <c r="BT45" s="89"/>
      <c r="BU45" s="90"/>
      <c r="BV45" s="91"/>
      <c r="BW45" s="92" t="str">
        <f aca="false">IF(BW44="","",BT45*1000+BU45*10+BV45)</f>
        <v/>
      </c>
      <c r="CK45" s="97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79"/>
      <c r="G46" s="69"/>
      <c r="H46" s="70" t="str">
        <f aca="false">AE45</f>
        <v>Egypt</v>
      </c>
      <c r="J46" s="80" t="str">
        <f aca="false">VLOOKUP(2,AD44:AN47,2,FALSE())</f>
        <v>New Zealand</v>
      </c>
      <c r="K46" s="81" t="n">
        <f aca="false">L46+M46+N46</f>
        <v>1</v>
      </c>
      <c r="L46" s="81" t="n">
        <f aca="false">VLOOKUP(2,AD44:AN47,3,FALSE())</f>
        <v>0</v>
      </c>
      <c r="M46" s="81" t="n">
        <f aca="false">VLOOKUP(2,AD44:AN47,4,FALSE())</f>
        <v>1</v>
      </c>
      <c r="N46" s="81" t="n">
        <f aca="false">VLOOKUP(2,AD44:AN47,5,FALSE())</f>
        <v>0</v>
      </c>
      <c r="O46" s="81" t="str">
        <f aca="false">VLOOKUP(2,AD44:AN47,6,FALSE()) &amp; " - " &amp; VLOOKUP(2,AD44:AN47,7,FALSE())</f>
        <v>2 - 2</v>
      </c>
      <c r="P46" s="82" t="n">
        <f aca="false">L46*3+M46</f>
        <v>1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/>
      </c>
      <c r="T46" s="43" t="str">
        <f aca="false">IF(S46="","",IF(F46&lt;G46,H46&amp;"_win",IF(F46&gt;G46,H46&amp;"_lose",H46&amp;"_draw")))</f>
        <v/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str">
        <f aca="false">IF(OR(F46="",G46=""),"",IF(F46&gt;G46,1,IF(F46&lt;G46,-1,0)))</f>
        <v/>
      </c>
      <c r="AD46" s="42" t="n">
        <f aca="false">COUNTIF(AR44:AR47,CONCATENATE("&gt;=",AR46))</f>
        <v>1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1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2</v>
      </c>
      <c r="AJ46" s="42" t="n">
        <f aca="false">SUMIF($E$7:$E$78,$AE46,$G$7:$G$78) + SUMIF($H$7:$H$78,$AE46,$F$7:$F$78)</f>
        <v>2</v>
      </c>
      <c r="AL46" s="42" t="n">
        <f aca="false">AI46-AJ46</f>
        <v>0</v>
      </c>
      <c r="AM46" s="42" t="n">
        <f aca="false">AL46-AL48</f>
        <v>0</v>
      </c>
      <c r="AN46" s="42" t="n">
        <f aca="false">AF46*3+AG46</f>
        <v>1</v>
      </c>
      <c r="AO46" s="42" t="n">
        <f aca="false">AN46/AN48*10+BA46</f>
        <v>5.99019607843137</v>
      </c>
      <c r="AP46" s="42" t="n">
        <f aca="false">AO46*10000000+BI46*100+AM46/AM48*10+AI46/AI48*1++IF(AQ46=0,ROW(),AQ46)/2000000</f>
        <v>59902060.4713959</v>
      </c>
      <c r="AQ46" s="46" t="n">
        <f aca="false">VLOOKUP(AE46,db_fifarank,2,FALSE())</f>
        <v>1615.3</v>
      </c>
      <c r="AR46" s="45" t="n">
        <f aca="false">AP46/AP48</f>
        <v>0.999999983306084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1</v>
      </c>
      <c r="AV46" s="46" t="n">
        <f aca="false" t="array" ref="AV46:AV46">SUMPRODUCT(($E$7:$E$78=AE46)*($U$7:$U$78)*($F$7:$F$78))+SUMPRODUCT(($H$7:$H$78=AE46)*($U$7:$U$78)*($G$7:$G$78))</f>
        <v>2</v>
      </c>
      <c r="AW46" s="46" t="n">
        <f aca="false" t="array" ref="AW46:AW46">SUMPRODUCT(($E$7:$E$78=AE46)*($U$7:$U$78)*($G$7:$G$78))+SUMPRODUCT(($H$7:$H$78=AE46)*($U$7:$U$78)*($F$7:$F$78))</f>
        <v>2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101</v>
      </c>
      <c r="BA46" s="46" t="n">
        <f aca="false">AZ46/AZ48</f>
        <v>0.990196078431373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1</v>
      </c>
      <c r="BD46" s="46" t="n">
        <f aca="false" t="array" ref="BD46:BD46">SUMPRODUCT(($E$7:$E$78=AE46)*($X$7:$X$78)*($F$7:$F$78))+SUMPRODUCT(($H$7:$H$78=AE46)*($X$7:$X$78)*($G$7:$G$78))</f>
        <v>2</v>
      </c>
      <c r="BE46" s="46" t="n">
        <f aca="false" t="array" ref="BE46:BE46">SUMPRODUCT(($E$7:$E$78=AE46)*($X$7:$X$78)*($G$7:$G$78))+SUMPRODUCT(($H$7:$H$78=AE46)*($X$7:$X$78)*($F$7:$F$78))</f>
        <v>2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101</v>
      </c>
      <c r="BI46" s="46" t="n">
        <f aca="false">BH46/BH48</f>
        <v>0.990196078431373</v>
      </c>
      <c r="BK46" s="83" t="n">
        <v>78</v>
      </c>
      <c r="BL46" s="84" t="str">
        <f aca="false">AS33</f>
        <v>2E</v>
      </c>
      <c r="BM46" s="85"/>
      <c r="BN46" s="86"/>
      <c r="BO46" s="87"/>
      <c r="BP46" s="100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7"/>
      <c r="CK46" s="97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79"/>
      <c r="G47" s="69"/>
      <c r="H47" s="70" t="str">
        <f aca="false">AE57</f>
        <v>Senegal</v>
      </c>
      <c r="J47" s="80" t="str">
        <f aca="false">VLOOKUP(3,AD44:AN47,2,FALSE())</f>
        <v>Belgium</v>
      </c>
      <c r="K47" s="81" t="n">
        <f aca="false">L47+M47+N47</f>
        <v>1</v>
      </c>
      <c r="L47" s="81" t="n">
        <f aca="false">VLOOKUP(3,AD44:AN47,3,FALSE())</f>
        <v>0</v>
      </c>
      <c r="M47" s="81" t="n">
        <f aca="false">VLOOKUP(3,AD44:AN47,4,FALSE())</f>
        <v>1</v>
      </c>
      <c r="N47" s="81" t="n">
        <f aca="false">VLOOKUP(3,AD44:AN47,5,FALSE())</f>
        <v>0</v>
      </c>
      <c r="O47" s="81" t="str">
        <f aca="false">VLOOKUP(3,AD44:AN47,6,FALSE()) &amp; " - " &amp; VLOOKUP(3,AD44:AN47,7,FALSE())</f>
        <v>1 - 1</v>
      </c>
      <c r="P47" s="82" t="n">
        <f aca="false">L47*3+M47</f>
        <v>1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/>
      </c>
      <c r="T47" s="43" t="str">
        <f aca="false">IF(S47="","",IF(F47&lt;G47,H47&amp;"_win",IF(F47&gt;G47,H47&amp;"_lose",H47&amp;"_draw")))</f>
        <v/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str">
        <f aca="false">IF(OR(F47="",G47=""),"",IF(F47&gt;G47,1,IF(F47&lt;G47,-1,0)))</f>
        <v/>
      </c>
      <c r="AD47" s="42" t="n">
        <f aca="false">COUNTIF(AR44:AR47,CONCATENATE("&gt;=",AR47))</f>
        <v>2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0</v>
      </c>
      <c r="AI47" s="42" t="n">
        <f aca="false">SUMIF($E$7:$E$78,$AE47,$F$7:$F$78) + SUMIF($H$7:$H$78,$AE47,$G$7:$G$78)</f>
        <v>2</v>
      </c>
      <c r="AJ47" s="42" t="n">
        <f aca="false">SUMIF($E$7:$E$78,$AE47,$G$7:$G$78) + SUMIF($H$7:$H$78,$AE47,$F$7:$F$78)</f>
        <v>2</v>
      </c>
      <c r="AL47" s="42" t="n">
        <f aca="false">AI47-AJ47</f>
        <v>0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5.99019607843137</v>
      </c>
      <c r="AP47" s="42" t="n">
        <f aca="false">AO47*10000000+BI47*100+AM47/AM48*10+AI47/AI48*1++IF(AQ47=0,ROW(),AQ47)/2000000</f>
        <v>59902060.471229</v>
      </c>
      <c r="AQ47" s="46" t="n">
        <f aca="false">VLOOKUP(AE47,db_fifarank,2,FALSE())</f>
        <v>1281.57</v>
      </c>
      <c r="AR47" s="45" t="n">
        <f aca="false">AP47/AP48</f>
        <v>0.999999983303298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1</v>
      </c>
      <c r="AV47" s="46" t="n">
        <f aca="false" t="array" ref="AV47:AV47">SUMPRODUCT(($E$7:$E$78=AE47)*($U$7:$U$78)*($F$7:$F$78))+SUMPRODUCT(($H$7:$H$78=AE47)*($U$7:$U$78)*($G$7:$G$78))</f>
        <v>2</v>
      </c>
      <c r="AW47" s="46" t="n">
        <f aca="false" t="array" ref="AW47:AW47">SUMPRODUCT(($E$7:$E$78=AE47)*($U$7:$U$78)*($G$7:$G$78))+SUMPRODUCT(($H$7:$H$78=AE47)*($U$7:$U$78)*($F$7:$F$78))</f>
        <v>2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101</v>
      </c>
      <c r="BA47" s="46" t="n">
        <f aca="false">AZ47/AZ48</f>
        <v>0.990196078431373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1</v>
      </c>
      <c r="BD47" s="46" t="n">
        <f aca="false" t="array" ref="BD47:BD47">SUMPRODUCT(($E$7:$E$78=AE47)*($X$7:$X$78)*($F$7:$F$78))+SUMPRODUCT(($H$7:$H$78=AE47)*($X$7:$X$78)*($G$7:$G$78))</f>
        <v>2</v>
      </c>
      <c r="BE47" s="46" t="n">
        <f aca="false" t="array" ref="BE47:BE47">SUMPRODUCT(($E$7:$E$78=AE47)*($X$7:$X$78)*($G$7:$G$78))+SUMPRODUCT(($H$7:$H$78=AE47)*($X$7:$X$78)*($F$7:$F$78))</f>
        <v>2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101</v>
      </c>
      <c r="BI47" s="46" t="n">
        <f aca="false">BH47/BH48</f>
        <v>0.990196078431373</v>
      </c>
      <c r="BK47" s="83"/>
      <c r="BL47" s="88" t="str">
        <f aca="false">AS57</f>
        <v>2I</v>
      </c>
      <c r="BM47" s="89"/>
      <c r="BN47" s="90"/>
      <c r="BO47" s="91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7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3"/>
      <c r="CD47" s="47" t="n">
        <f aca="false">DATE(2026,7,11)+TIME(10,0,0)+gmt_delta</f>
        <v>46214.7083333333</v>
      </c>
      <c r="CK47" s="97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3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79"/>
      <c r="G48" s="69"/>
      <c r="H48" s="70" t="str">
        <f aca="false">AE58</f>
        <v>Iraq</v>
      </c>
      <c r="J48" s="94" t="str">
        <f aca="false">VLOOKUP(4,AD44:AN47,2,FALSE())</f>
        <v>Egypt</v>
      </c>
      <c r="K48" s="95" t="n">
        <f aca="false">L48+M48+N48</f>
        <v>1</v>
      </c>
      <c r="L48" s="95" t="n">
        <f aca="false">VLOOKUP(4,AD44:AN47,3,FALSE())</f>
        <v>0</v>
      </c>
      <c r="M48" s="95" t="n">
        <f aca="false">VLOOKUP(4,AD44:AN47,4,FALSE())</f>
        <v>1</v>
      </c>
      <c r="N48" s="95" t="n">
        <f aca="false">VLOOKUP(4,AD44:AN47,5,FALSE())</f>
        <v>0</v>
      </c>
      <c r="O48" s="95" t="str">
        <f aca="false">VLOOKUP(4,AD44:AN47,6,FALSE()) &amp; " - " &amp; VLOOKUP(4,AD44:AN47,7,FALSE())</f>
        <v>1 - 1</v>
      </c>
      <c r="P48" s="96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/>
      </c>
      <c r="T48" s="43" t="str">
        <f aca="false">IF(S48="","",IF(F48&lt;G48,H48&amp;"_win",IF(F48&gt;G48,H48&amp;"_lose",H48&amp;"_draw")))</f>
        <v/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str">
        <f aca="false">IF(OR(F48="",G48=""),"",IF(F48&gt;G48,1,IF(F48&lt;G48,-1,0)))</f>
        <v/>
      </c>
      <c r="AF48" s="42" t="n">
        <f aca="false">MAX(AF44:AF47)-MIN(AF44:AF47)+1</f>
        <v>1</v>
      </c>
      <c r="AG48" s="42" t="n">
        <f aca="false">MAX(AG44:AG47)-MIN(AG44:AG47)+1</f>
        <v>1</v>
      </c>
      <c r="AH48" s="42" t="n">
        <f aca="false">MAX(AH44:AH47)-MIN(AH44:AH47)+1</f>
        <v>1</v>
      </c>
      <c r="AI48" s="42" t="n">
        <f aca="false">MAX(AI44:AI47)+1</f>
        <v>3</v>
      </c>
      <c r="AL48" s="42" t="n">
        <f aca="false">MIN(AL44:AL47)</f>
        <v>0</v>
      </c>
      <c r="AM48" s="42" t="n">
        <f aca="false">MAX(AM44:AM47)+1</f>
        <v>1</v>
      </c>
      <c r="AN48" s="42" t="n">
        <f aca="false">MAX(AN44:AN47)+1</f>
        <v>2</v>
      </c>
      <c r="AO48" s="42" t="n">
        <f aca="false">MAX(AO44:AO47)+1</f>
        <v>6.99019607843137</v>
      </c>
      <c r="AP48" s="42" t="n">
        <f aca="false">MAX(AP44:AP47)+1</f>
        <v>59902061.4713959</v>
      </c>
      <c r="AT48" s="46" t="n">
        <f aca="false">MAX(AT44:AT47)-MIN(AT44:AT47)+1</f>
        <v>1</v>
      </c>
      <c r="AU48" s="46" t="n">
        <f aca="false">MAX(AU44:AU47)-MIN(AU44:AU47)+1</f>
        <v>1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102</v>
      </c>
      <c r="BB48" s="46" t="n">
        <f aca="false">MAX(BB44:BB47)-MIN(BB44:BB47)+1</f>
        <v>1</v>
      </c>
      <c r="BC48" s="46" t="n">
        <f aca="false">MAX(BC44:BC47)-MIN(BC44:BC47)+1</f>
        <v>1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102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7"/>
      <c r="BX48" s="47"/>
      <c r="BY48" s="83" t="n">
        <v>99</v>
      </c>
      <c r="BZ48" s="84" t="str">
        <f aca="false">IF(BW44&gt;BW45,BS44,IF(BW44&lt;BW45,BS45,""))</f>
        <v/>
      </c>
      <c r="CA48" s="85"/>
      <c r="CB48" s="86"/>
      <c r="CC48" s="87"/>
      <c r="CD48" s="47" t="str">
        <f aca="false">IF(OR(CA48="",CA49="",AND(CB48="",CB49&lt;&gt;""),AND(CB49="",CB48&lt;&gt;""),AND(CC48="",CC49&lt;&gt;""),AND(CC49="",CC48&lt;&gt;"")),"",CA48*1000+CB48*10+CC48)</f>
        <v/>
      </c>
      <c r="CK48" s="97"/>
      <c r="CL48" s="47"/>
      <c r="CM48" s="83" t="n">
        <v>103</v>
      </c>
      <c r="CN48" s="84" t="str">
        <f aca="false">IF(CK23&gt;CK24,CG24,IF(CK23&lt;CK24,CG23,""))</f>
        <v/>
      </c>
      <c r="CO48" s="85"/>
      <c r="CP48" s="86"/>
      <c r="CQ48" s="87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79"/>
      <c r="G49" s="69"/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/>
      </c>
      <c r="T49" s="43" t="str">
        <f aca="false">IF(S49="","",IF(F49&lt;G49,H49&amp;"_win",IF(F49&gt;G49,H49&amp;"_lose",H49&amp;"_draw")))</f>
        <v/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str">
        <f aca="false">IF(OR(F49="",G49=""),"",IF(F49&gt;G49,1,IF(F49&lt;G49,-1,0)))</f>
        <v/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3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7"/>
      <c r="BX49" s="98"/>
      <c r="BY49" s="83"/>
      <c r="BZ49" s="88" t="str">
        <f aca="false">IF(BW52&gt;BW53,BS52,IF(BW52&lt;BW53,BS53,""))</f>
        <v/>
      </c>
      <c r="CA49" s="89"/>
      <c r="CB49" s="90"/>
      <c r="CC49" s="91"/>
      <c r="CD49" s="92" t="str">
        <f aca="false">IF(CD48="","",CA49*1000+CB49*10+CC49)</f>
        <v/>
      </c>
      <c r="CK49" s="97"/>
      <c r="CL49" s="98"/>
      <c r="CM49" s="83"/>
      <c r="CN49" s="88" t="str">
        <f aca="false">IF(CK55&gt;CK56,CG56,IF(CK55&lt;CK56,CG55,""))</f>
        <v/>
      </c>
      <c r="CO49" s="89"/>
      <c r="CP49" s="90"/>
      <c r="CQ49" s="91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79"/>
      <c r="G50" s="69"/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/>
      </c>
      <c r="T50" s="43" t="str">
        <f aca="false">IF(S50="","",IF(F50&lt;G50,H50&amp;"_win",IF(F50&gt;G50,H50&amp;"_lose",H50&amp;"_draw")))</f>
        <v/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str">
        <f aca="false">IF(OR(F50="",G50=""),"",IF(F50&gt;G50,1,IF(F50&lt;G50,-1,0)))</f>
        <v/>
      </c>
      <c r="AD50" s="42" t="n">
        <f aca="false">COUNTIF(AR50:AR53,CONCATENATE("&gt;=",AR50))</f>
        <v>3</v>
      </c>
      <c r="AE50" s="44" t="str">
        <f aca="false">VLOOKUP("Spain",T,lang,FALSE())</f>
        <v>Spain</v>
      </c>
      <c r="AF50" s="42" t="n">
        <f aca="false">COUNTIF($S$7:$T$78,"=" &amp; AE50 &amp; "_win")</f>
        <v>0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0</v>
      </c>
      <c r="AJ50" s="42" t="n">
        <f aca="false">SUMIF($E$7:$E$78,$AE50,$G$7:$G$78) + SUMIF($H$7:$H$78,$AE50,$F$7:$F$78)</f>
        <v>0</v>
      </c>
      <c r="AL50" s="42" t="n">
        <f aca="false">AI50-AJ50</f>
        <v>0</v>
      </c>
      <c r="AM50" s="42" t="n">
        <f aca="false">AL50-AL54</f>
        <v>0</v>
      </c>
      <c r="AN50" s="42" t="n">
        <f aca="false">AF50*3+AG50</f>
        <v>1</v>
      </c>
      <c r="AO50" s="42" t="n">
        <f aca="false">AN50/AN54*10+BA50</f>
        <v>5.98522167487685</v>
      </c>
      <c r="AP50" s="42" t="n">
        <f aca="false">AO50*10000000+BI50*100+AM50/AM54*10+AI50/AI54*1++IF(AQ50=0,ROW(),AQ50)/2000000</f>
        <v>59852315.2718742</v>
      </c>
      <c r="AQ50" s="46" t="n">
        <f aca="false">VLOOKUP(AE50,db_fifarank,2,FALSE())</f>
        <v>1876.4</v>
      </c>
      <c r="AR50" s="45" t="n">
        <f aca="false">AP50/AP54</f>
        <v>0.999177599695843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1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100</v>
      </c>
      <c r="BA50" s="46" t="n">
        <f aca="false">AZ50/AZ54</f>
        <v>0.985221674876847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1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100</v>
      </c>
      <c r="BI50" s="46" t="n">
        <f aca="false">BH50/BH54</f>
        <v>0.985221674876847</v>
      </c>
      <c r="BK50" s="83" t="n">
        <v>79</v>
      </c>
      <c r="BL50" s="84" t="str">
        <f aca="false">AS8</f>
        <v>1A</v>
      </c>
      <c r="BM50" s="85"/>
      <c r="BN50" s="86"/>
      <c r="BO50" s="87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7"/>
      <c r="BX50" s="47"/>
      <c r="BY50" s="74"/>
      <c r="BZ50" s="74"/>
      <c r="CA50" s="74"/>
      <c r="CB50" s="74"/>
      <c r="CC50" s="74"/>
      <c r="CD50" s="97"/>
      <c r="CK50" s="97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79"/>
      <c r="G51" s="69"/>
      <c r="H51" s="70" t="str">
        <f aca="false">AE76</f>
        <v>Ghana</v>
      </c>
      <c r="J51" s="75" t="str">
        <f aca="false">VLOOKUP(1,AD50:AN53,2,FALSE())</f>
        <v>Uruguay</v>
      </c>
      <c r="K51" s="76" t="n">
        <f aca="false">L51+M51+N51</f>
        <v>1</v>
      </c>
      <c r="L51" s="76" t="n">
        <f aca="false">VLOOKUP(1,AD50:AN53,3,FALSE())</f>
        <v>0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1 - 1</v>
      </c>
      <c r="P51" s="77" t="n">
        <f aca="false">L51*3+M51</f>
        <v>1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4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1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0</v>
      </c>
      <c r="AJ51" s="42" t="n">
        <f aca="false">SUMIF($E$7:$E$78,$AE51,$G$7:$G$78) + SUMIF($H$7:$H$78,$AE51,$F$7:$F$78)</f>
        <v>0</v>
      </c>
      <c r="AL51" s="42" t="n">
        <f aca="false">AI51-AJ51</f>
        <v>0</v>
      </c>
      <c r="AM51" s="42" t="n">
        <f aca="false">AL51-AL54</f>
        <v>0</v>
      </c>
      <c r="AN51" s="42" t="n">
        <f aca="false">AF51*3+AG51</f>
        <v>1</v>
      </c>
      <c r="AO51" s="42" t="n">
        <f aca="false">AN51/AN54*10+BA51</f>
        <v>5.98522167487685</v>
      </c>
      <c r="AP51" s="42" t="n">
        <f aca="false">AO51*10000000+BI51*100+AM51/AM54*10+AI51/AI54*1++IF(AQ51=0,ROW(),AQ51)/2000000</f>
        <v>59852315.271619</v>
      </c>
      <c r="AQ51" s="46" t="n">
        <f aca="false">VLOOKUP(AE51,db_fifarank,2,FALSE())</f>
        <v>1366.13</v>
      </c>
      <c r="AR51" s="45" t="n">
        <f aca="false">AP51/AP54</f>
        <v>0.999177599691583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1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100</v>
      </c>
      <c r="BA51" s="46" t="n">
        <f aca="false">AZ51/AZ54</f>
        <v>0.985221674876847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1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100</v>
      </c>
      <c r="BI51" s="46" t="n">
        <f aca="false">BH51/BH54</f>
        <v>0.985221674876847</v>
      </c>
      <c r="BK51" s="83"/>
      <c r="BL51" s="88" t="str">
        <f aca="false">IF(group_round_completed,VLOOKUP('3rd places'!D3,AK80:AS91,9,FALSE()),"3rd Group C/E/F/H/I")</f>
        <v>3rd Group C/E/F/H/I</v>
      </c>
      <c r="BM51" s="89"/>
      <c r="BN51" s="90"/>
      <c r="BO51" s="91"/>
      <c r="BP51" s="92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3"/>
      <c r="BW51" s="97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7"/>
      <c r="CK51" s="97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79"/>
      <c r="G52" s="69"/>
      <c r="H52" s="70" t="str">
        <f aca="false">AE75</f>
        <v>Croatia</v>
      </c>
      <c r="J52" s="80" t="str">
        <f aca="false">VLOOKUP(2,AD50:AN53,2,FALSE())</f>
        <v>Saudi Arabia</v>
      </c>
      <c r="K52" s="81" t="n">
        <f aca="false">L52+M52+N52</f>
        <v>1</v>
      </c>
      <c r="L52" s="81" t="n">
        <f aca="false">VLOOKUP(2,AD50:AN53,3,FALSE())</f>
        <v>0</v>
      </c>
      <c r="M52" s="81" t="n">
        <f aca="false">VLOOKUP(2,AD50:AN53,4,FALSE())</f>
        <v>1</v>
      </c>
      <c r="N52" s="81" t="n">
        <f aca="false">VLOOKUP(2,AD50:AN53,5,FALSE())</f>
        <v>0</v>
      </c>
      <c r="O52" s="81" t="str">
        <f aca="false">VLOOKUP(2,AD50:AN53,6,FALSE()) &amp; " - " &amp; VLOOKUP(2,AD50:AN53,7,FALSE())</f>
        <v>1 - 1</v>
      </c>
      <c r="P52" s="82" t="n">
        <f aca="false">L52*3+M52</f>
        <v>1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2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1</v>
      </c>
      <c r="AH52" s="42" t="n">
        <f aca="false">COUNTIF($S$7:$T$78,"=" &amp; AE52 &amp; "_lose")</f>
        <v>0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1</v>
      </c>
      <c r="AL52" s="42" t="n">
        <f aca="false">AI52-AJ52</f>
        <v>0</v>
      </c>
      <c r="AM52" s="42" t="n">
        <f aca="false">AL52-AL54</f>
        <v>0</v>
      </c>
      <c r="AN52" s="42" t="n">
        <f aca="false">AF52*3+AG52</f>
        <v>1</v>
      </c>
      <c r="AO52" s="42" t="n">
        <f aca="false">AN52/AN54*10+BA52</f>
        <v>5.99014778325123</v>
      </c>
      <c r="AP52" s="42" t="n">
        <f aca="false">AO52*10000000+BI52*100+AM52/AM54*10+AI52/AI54*1++IF(AQ52=0,ROW(),AQ52)/2000000</f>
        <v>59901577.3480014</v>
      </c>
      <c r="AQ52" s="46" t="n">
        <f aca="false">VLOOKUP(AE52,db_fifarank,2,FALSE())</f>
        <v>1421.43</v>
      </c>
      <c r="AR52" s="45" t="n">
        <f aca="false">AP52/AP54</f>
        <v>0.999999983303849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100.5</v>
      </c>
      <c r="BA52" s="46" t="n">
        <f aca="false">AZ52/AZ54</f>
        <v>0.990147783251232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100.5</v>
      </c>
      <c r="BI52" s="46" t="n">
        <f aca="false">BH52/BH54</f>
        <v>0.990147783251232</v>
      </c>
      <c r="BK52" s="74"/>
      <c r="BL52" s="74"/>
      <c r="BM52" s="74"/>
      <c r="BN52" s="74"/>
      <c r="BO52" s="74"/>
      <c r="BP52" s="97"/>
      <c r="BQ52" s="47"/>
      <c r="BR52" s="83" t="n">
        <v>92</v>
      </c>
      <c r="BS52" s="84" t="str">
        <f aca="false">IF(BP50&gt;BP51,BL50,IF(BP50&lt;BP51,BL51,""))</f>
        <v/>
      </c>
      <c r="BT52" s="85"/>
      <c r="BU52" s="86"/>
      <c r="BV52" s="87"/>
      <c r="BW52" s="100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7"/>
      <c r="CK52" s="97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79"/>
      <c r="G53" s="69"/>
      <c r="H53" s="70" t="str">
        <f aca="false">AE70</f>
        <v>Uzbekistan</v>
      </c>
      <c r="J53" s="80" t="str">
        <f aca="false">VLOOKUP(3,AD50:AN53,2,FALSE())</f>
        <v>Spain</v>
      </c>
      <c r="K53" s="81" t="n">
        <f aca="false">L53+M53+N53</f>
        <v>1</v>
      </c>
      <c r="L53" s="81" t="n">
        <f aca="false">VLOOKUP(3,AD50:AN53,3,FALSE())</f>
        <v>0</v>
      </c>
      <c r="M53" s="81" t="n">
        <f aca="false">VLOOKUP(3,AD50:AN53,4,FALSE())</f>
        <v>1</v>
      </c>
      <c r="N53" s="81" t="n">
        <f aca="false">VLOOKUP(3,AD50:AN53,5,FALSE())</f>
        <v>0</v>
      </c>
      <c r="O53" s="81" t="str">
        <f aca="false">VLOOKUP(3,AD50:AN53,6,FALSE()) &amp; " - " &amp; VLOOKUP(3,AD50:AN53,7,FALSE())</f>
        <v>0 - 0</v>
      </c>
      <c r="P53" s="82" t="n">
        <f aca="false">L53*3+M53</f>
        <v>1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1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1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1</v>
      </c>
      <c r="AJ53" s="42" t="n">
        <f aca="false">SUMIF($E$7:$E$78,$AE53,$G$7:$G$78) + SUMIF($H$7:$H$78,$AE53,$F$7:$F$78)</f>
        <v>1</v>
      </c>
      <c r="AL53" s="42" t="n">
        <f aca="false">AI53-AJ53</f>
        <v>0</v>
      </c>
      <c r="AM53" s="42" t="n">
        <f aca="false">AL53-AL54</f>
        <v>0</v>
      </c>
      <c r="AN53" s="42" t="n">
        <f aca="false">AF53*3+AG53</f>
        <v>1</v>
      </c>
      <c r="AO53" s="42" t="n">
        <f aca="false">AN53/AN54*10+BA53</f>
        <v>5.99014778325123</v>
      </c>
      <c r="AP53" s="42" t="n">
        <f aca="false">AO53*10000000+BI53*100+AM53/AM54*10+AI53/AI54*1++IF(AQ53=0,ROW(),AQ53)/2000000</f>
        <v>59901577.3481272</v>
      </c>
      <c r="AQ53" s="46" t="n">
        <f aca="false">VLOOKUP(AE53,db_fifarank,2,FALSE())</f>
        <v>1673.07</v>
      </c>
      <c r="AR53" s="45" t="n">
        <f aca="false">AP53/AP54</f>
        <v>0.999999983305949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100.5</v>
      </c>
      <c r="BA53" s="46" t="n">
        <f aca="false">AZ53/AZ54</f>
        <v>0.990147783251232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100.5</v>
      </c>
      <c r="BI53" s="46" t="n">
        <f aca="false">BH53/BH54</f>
        <v>0.990147783251232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3"/>
      <c r="BP53" s="97" t="n">
        <f aca="false">DATE(2026,7,1)+TIME(5,0,0)+gmt_delta</f>
        <v>46204.5</v>
      </c>
      <c r="BQ53" s="98"/>
      <c r="BR53" s="83"/>
      <c r="BS53" s="88" t="str">
        <f aca="false">IF(BP54&gt;BP55,BL54,IF(BP54&lt;BP55,BL55,""))</f>
        <v/>
      </c>
      <c r="BT53" s="89"/>
      <c r="BU53" s="90"/>
      <c r="BV53" s="91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7"/>
      <c r="CK53" s="97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79"/>
      <c r="G54" s="69"/>
      <c r="H54" s="70" t="str">
        <f aca="false">AE69</f>
        <v>DR Congo</v>
      </c>
      <c r="J54" s="94" t="str">
        <f aca="false">VLOOKUP(4,AD50:AN53,2,FALSE())</f>
        <v>Cape Verde</v>
      </c>
      <c r="K54" s="95" t="n">
        <f aca="false">L54+M54+N54</f>
        <v>1</v>
      </c>
      <c r="L54" s="95" t="n">
        <f aca="false">VLOOKUP(4,AD50:AN53,3,FALSE())</f>
        <v>0</v>
      </c>
      <c r="M54" s="95" t="n">
        <f aca="false">VLOOKUP(4,AD50:AN53,4,FALSE())</f>
        <v>1</v>
      </c>
      <c r="N54" s="95" t="n">
        <f aca="false">VLOOKUP(4,AD50:AN53,5,FALSE())</f>
        <v>0</v>
      </c>
      <c r="O54" s="95" t="str">
        <f aca="false">VLOOKUP(4,AD50:AN53,6,FALSE()) &amp; " - " &amp; VLOOKUP(4,AD50:AN53,7,FALSE())</f>
        <v>0 - 0</v>
      </c>
      <c r="P54" s="96" t="n">
        <f aca="false">L54*3+M54</f>
        <v>1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1</v>
      </c>
      <c r="AG54" s="42" t="n">
        <f aca="false">MAX(AG50:AG53)-MIN(AG50:AG53)+1</f>
        <v>1</v>
      </c>
      <c r="AH54" s="42" t="n">
        <f aca="false">MAX(AH50:AH53)-MIN(AH50:AH53)+1</f>
        <v>1</v>
      </c>
      <c r="AI54" s="42" t="n">
        <f aca="false">MAX(AI50:AI53)+1</f>
        <v>2</v>
      </c>
      <c r="AL54" s="42" t="n">
        <f aca="false">MIN(AL50:AL53)</f>
        <v>0</v>
      </c>
      <c r="AM54" s="42" t="n">
        <f aca="false">MAX(AM50:AM53)+1</f>
        <v>1</v>
      </c>
      <c r="AN54" s="42" t="n">
        <f aca="false">MAX(AN50:AN53)+1</f>
        <v>2</v>
      </c>
      <c r="AO54" s="42" t="n">
        <f aca="false">MAX(AO50:AO53)+1</f>
        <v>6.99014778325123</v>
      </c>
      <c r="AP54" s="42" t="n">
        <f aca="false">MAX(AP50:AP53)+1</f>
        <v>59901578.3481272</v>
      </c>
      <c r="AT54" s="46" t="n">
        <f aca="false">MAX(AT50:AT53)-MIN(AT50:AT53)+1</f>
        <v>1</v>
      </c>
      <c r="AU54" s="46" t="n">
        <f aca="false">MAX(AU50:AU53)-MIN(AU50:AU53)+1</f>
        <v>1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101.5</v>
      </c>
      <c r="BB54" s="46" t="n">
        <f aca="false">MAX(BB50:BB53)-MIN(BB50:BB53)+1</f>
        <v>1</v>
      </c>
      <c r="BC54" s="46" t="n">
        <f aca="false">MAX(BC50:BC53)-MIN(BC50:BC53)+1</f>
        <v>1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101.5</v>
      </c>
      <c r="BK54" s="83" t="n">
        <v>80</v>
      </c>
      <c r="BL54" s="84" t="str">
        <f aca="false">AS74</f>
        <v>1L</v>
      </c>
      <c r="BM54" s="85"/>
      <c r="BN54" s="86"/>
      <c r="BO54" s="87"/>
      <c r="BP54" s="100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7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3"/>
      <c r="CK54" s="97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79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3"/>
      <c r="BL55" s="88" t="str">
        <f aca="false">IF(group_round_completed,VLOOKUP('3rd places'!K3,AK80:AS91,9,FALSE()),"3rd Group E/H/I/J/K")</f>
        <v>3rd Group E/H/I/J/K</v>
      </c>
      <c r="BM55" s="89"/>
      <c r="BN55" s="90"/>
      <c r="BO55" s="91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7"/>
      <c r="CE55" s="47"/>
      <c r="CF55" s="83" t="n">
        <v>102</v>
      </c>
      <c r="CG55" s="84" t="str">
        <f aca="false">IF(CD48&gt;CD49,BZ48,IF(CD48&lt;CD49,BZ49,""))</f>
        <v/>
      </c>
      <c r="CH55" s="85"/>
      <c r="CI55" s="86"/>
      <c r="CJ55" s="87"/>
      <c r="CK55" s="100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79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2</v>
      </c>
      <c r="AE56" s="44" t="str">
        <f aca="false">VLOOKUP("France",T,lang,FALSE())</f>
        <v>France</v>
      </c>
      <c r="AF56" s="42" t="n">
        <f aca="false">COUNTIF($S$7:$T$78,"=" &amp; AE56 &amp; "_win")</f>
        <v>1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3</v>
      </c>
      <c r="AJ56" s="42" t="n">
        <f aca="false">SUMIF($E$7:$E$78,$AE56,$G$7:$G$78) + SUMIF($H$7:$H$78,$AE56,$F$7:$F$78)</f>
        <v>1</v>
      </c>
      <c r="AL56" s="42" t="n">
        <f aca="false">AI56-AJ56</f>
        <v>2</v>
      </c>
      <c r="AM56" s="42" t="n">
        <f aca="false">AL56-AL60</f>
        <v>5</v>
      </c>
      <c r="AN56" s="42" t="n">
        <f aca="false">AF56*3+AG56</f>
        <v>3</v>
      </c>
      <c r="AO56" s="42" t="n">
        <f aca="false">AN56/AN60*10+BA56</f>
        <v>7.5</v>
      </c>
      <c r="AP56" s="42" t="n">
        <f aca="false">AO56*10000000+BI56*100+AM56/AM60*10+AI56/AI60*1++IF(AQ56=0,ROW(),AQ56)/2000000</f>
        <v>75000007.7437958</v>
      </c>
      <c r="AQ56" s="46" t="n">
        <f aca="false">VLOOKUP(AE56,db_fifarank,2,FALSE())</f>
        <v>1877.32</v>
      </c>
      <c r="AR56" s="45" t="n">
        <f aca="false">AP56/AP60</f>
        <v>0.999999964954562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7"/>
      <c r="CE56" s="98"/>
      <c r="CF56" s="83"/>
      <c r="CG56" s="88" t="str">
        <f aca="false">IF(CD64&gt;CD65,BZ64,IF(CD64&lt;CD65,BZ65,""))</f>
        <v/>
      </c>
      <c r="CH56" s="89"/>
      <c r="CI56" s="90"/>
      <c r="CJ56" s="91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79"/>
      <c r="G57" s="69"/>
      <c r="H57" s="70" t="str">
        <f aca="false">AE14</f>
        <v>Canada</v>
      </c>
      <c r="I57" s="104"/>
      <c r="J57" s="75" t="str">
        <f aca="false">VLOOKUP(1,AD56:AN59,2,FALSE())</f>
        <v>Norway</v>
      </c>
      <c r="K57" s="76" t="n">
        <f aca="false">L57+M57+N57</f>
        <v>1</v>
      </c>
      <c r="L57" s="76" t="n">
        <f aca="false">VLOOKUP(1,AD56:AN59,3,FALSE())</f>
        <v>1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4 - 1</v>
      </c>
      <c r="P57" s="77" t="n">
        <f aca="false">L57*3+M57</f>
        <v>3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1</v>
      </c>
      <c r="AI57" s="42" t="n">
        <f aca="false">SUMIF($E$7:$E$78,$AE57,$F$7:$F$78) + SUMIF($H$7:$H$78,$AE57,$G$7:$G$78)</f>
        <v>1</v>
      </c>
      <c r="AJ57" s="42" t="n">
        <f aca="false">SUMIF($E$7:$E$78,$AE57,$G$7:$G$78) + SUMIF($H$7:$H$78,$AE57,$F$7:$F$78)</f>
        <v>3</v>
      </c>
      <c r="AL57" s="42" t="n">
        <f aca="false">AI57-AJ57</f>
        <v>-2</v>
      </c>
      <c r="AM57" s="42" t="n">
        <f aca="false">AL57-AL60</f>
        <v>1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1.62941592357143</v>
      </c>
      <c r="AQ57" s="46" t="n">
        <f aca="false">VLOOKUP(AE57,db_fifarank,2,FALSE())</f>
        <v>1688.99</v>
      </c>
      <c r="AR57" s="45" t="n">
        <f aca="false">AP57/AP60</f>
        <v>2.17255426430622E-008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2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7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79"/>
      <c r="G58" s="69"/>
      <c r="H58" s="70" t="str">
        <f aca="false">AE16</f>
        <v>Qatar</v>
      </c>
      <c r="I58" s="104"/>
      <c r="J58" s="80" t="str">
        <f aca="false">VLOOKUP(2,AD56:AN59,2,FALSE())</f>
        <v>France</v>
      </c>
      <c r="K58" s="81" t="n">
        <f aca="false">L58+M58+N58</f>
        <v>1</v>
      </c>
      <c r="L58" s="81" t="n">
        <f aca="false">VLOOKUP(2,AD56:AN59,3,FALSE())</f>
        <v>1</v>
      </c>
      <c r="M58" s="81" t="n">
        <f aca="false">VLOOKUP(2,AD56:AN59,4,FALSE())</f>
        <v>0</v>
      </c>
      <c r="N58" s="81" t="n">
        <f aca="false">VLOOKUP(2,AD56:AN59,5,FALSE())</f>
        <v>0</v>
      </c>
      <c r="O58" s="81" t="str">
        <f aca="false">VLOOKUP(2,AD56:AN59,6,FALSE()) &amp; " - " &amp; VLOOKUP(2,AD56:AN59,7,FALSE())</f>
        <v>3 - 1</v>
      </c>
      <c r="P58" s="82" t="n">
        <f aca="false">L58*3+M58</f>
        <v>3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1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4</v>
      </c>
      <c r="AL58" s="42" t="n">
        <f aca="false">AI58-AJ58</f>
        <v>-3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0.20072357</v>
      </c>
      <c r="AQ58" s="46" t="n">
        <f aca="false">VLOOKUP(AE58,db_fifarank,2,FALSE())</f>
        <v>1447.14</v>
      </c>
      <c r="AR58" s="45" t="n">
        <f aca="false">AP58/AP60</f>
        <v>2.67631389654302E-009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3" t="n">
        <v>86</v>
      </c>
      <c r="BL58" s="84" t="str">
        <f aca="false">AS62</f>
        <v>1J</v>
      </c>
      <c r="BM58" s="85"/>
      <c r="BN58" s="86"/>
      <c r="BO58" s="87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7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79"/>
      <c r="G59" s="69"/>
      <c r="H59" s="70" t="str">
        <f aca="false">AE8</f>
        <v>Mexico</v>
      </c>
      <c r="I59" s="104"/>
      <c r="J59" s="80" t="str">
        <f aca="false">VLOOKUP(3,AD56:AN59,2,FALSE())</f>
        <v>Senegal</v>
      </c>
      <c r="K59" s="81" t="n">
        <f aca="false">L59+M59+N59</f>
        <v>1</v>
      </c>
      <c r="L59" s="81" t="n">
        <f aca="false">VLOOKUP(3,AD56:AN59,3,FALSE())</f>
        <v>0</v>
      </c>
      <c r="M59" s="81" t="n">
        <f aca="false">VLOOKUP(3,AD56:AN59,4,FALSE())</f>
        <v>0</v>
      </c>
      <c r="N59" s="81" t="n">
        <f aca="false">VLOOKUP(3,AD56:AN59,5,FALSE())</f>
        <v>1</v>
      </c>
      <c r="O59" s="81" t="str">
        <f aca="false">VLOOKUP(3,AD56:AN59,6,FALSE()) &amp; " - " &amp; VLOOKUP(3,AD56:AN59,7,FALSE())</f>
        <v>1 - 3</v>
      </c>
      <c r="P59" s="82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1</v>
      </c>
      <c r="AE59" s="44" t="str">
        <f aca="false">VLOOKUP("Norway",T,lang,FALSE())</f>
        <v>Norway</v>
      </c>
      <c r="AF59" s="42" t="n">
        <f aca="false">COUNTIF($S$7:$T$78,"=" &amp; AE59 &amp; "_win")</f>
        <v>1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4</v>
      </c>
      <c r="AJ59" s="42" t="n">
        <f aca="false">SUMIF($E$7:$E$78,$AE59,$G$7:$G$78) + SUMIF($H$7:$H$78,$AE59,$F$7:$F$78)</f>
        <v>1</v>
      </c>
      <c r="AL59" s="42" t="n">
        <f aca="false">AI59-AJ59</f>
        <v>3</v>
      </c>
      <c r="AM59" s="42" t="n">
        <f aca="false">AL59-AL60</f>
        <v>6</v>
      </c>
      <c r="AN59" s="42" t="n">
        <f aca="false">AF59*3+AG59</f>
        <v>3</v>
      </c>
      <c r="AO59" s="42" t="n">
        <f aca="false">AN59/AN60*10+BA59</f>
        <v>7.5</v>
      </c>
      <c r="AP59" s="42" t="n">
        <f aca="false">AO59*10000000+BI59*100+AM59/AM60*10+AI59/AI60*1++IF(AQ59=0,ROW(),AQ59)/2000000</f>
        <v>75000009.372204</v>
      </c>
      <c r="AQ59" s="46" t="n">
        <f aca="false">VLOOKUP(AE59,db_fifarank,2,FALSE())</f>
        <v>1550.94</v>
      </c>
      <c r="AR59" s="45" t="n">
        <f aca="false">AP59/AP60</f>
        <v>0.999999986666669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3"/>
      <c r="BL59" s="88" t="str">
        <f aca="false">AS51</f>
        <v>2H</v>
      </c>
      <c r="BM59" s="89"/>
      <c r="BN59" s="90"/>
      <c r="BO59" s="91"/>
      <c r="BP59" s="92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3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7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79"/>
      <c r="G60" s="69"/>
      <c r="H60" s="70" t="str">
        <f aca="false">AE10</f>
        <v>Korea Republic</v>
      </c>
      <c r="I60" s="104"/>
      <c r="J60" s="94" t="str">
        <f aca="false">VLOOKUP(4,AD56:AN59,2,FALSE())</f>
        <v>Iraq</v>
      </c>
      <c r="K60" s="95" t="n">
        <f aca="false">L60+M60+N60</f>
        <v>1</v>
      </c>
      <c r="L60" s="95" t="n">
        <f aca="false">VLOOKUP(4,AD56:AN59,3,FALSE())</f>
        <v>0</v>
      </c>
      <c r="M60" s="95" t="n">
        <f aca="false">VLOOKUP(4,AD56:AN59,4,FALSE())</f>
        <v>0</v>
      </c>
      <c r="N60" s="95" t="n">
        <f aca="false">VLOOKUP(4,AD56:AN59,5,FALSE())</f>
        <v>1</v>
      </c>
      <c r="O60" s="95" t="str">
        <f aca="false">VLOOKUP(4,AD56:AN59,6,FALSE()) &amp; " - " &amp; VLOOKUP(4,AD56:AN59,7,FALSE())</f>
        <v>1 - 4</v>
      </c>
      <c r="P60" s="96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2</v>
      </c>
      <c r="AG60" s="42" t="n">
        <f aca="false">MAX(AG56:AG59)-MIN(AG56:AG59)+1</f>
        <v>1</v>
      </c>
      <c r="AH60" s="42" t="n">
        <f aca="false">MAX(AH56:AH59)-MIN(AH56:AH59)+1</f>
        <v>2</v>
      </c>
      <c r="AI60" s="42" t="n">
        <f aca="false">MAX(AI56:AI59)+1</f>
        <v>5</v>
      </c>
      <c r="AL60" s="42" t="n">
        <f aca="false">MIN(AL56:AL59)</f>
        <v>-3</v>
      </c>
      <c r="AM60" s="42" t="n">
        <f aca="false">MAX(AM56:AM59)+1</f>
        <v>7</v>
      </c>
      <c r="AN60" s="42" t="n">
        <f aca="false">MAX(AN56:AN59)+1</f>
        <v>4</v>
      </c>
      <c r="AO60" s="42" t="n">
        <f aca="false">MAX(AO56:AO59)+1</f>
        <v>8.5</v>
      </c>
      <c r="AP60" s="42" t="n">
        <f aca="false">MAX(AP56:AP59)+1</f>
        <v>75000010.372204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7"/>
      <c r="BQ60" s="47"/>
      <c r="BR60" s="83" t="n">
        <v>95</v>
      </c>
      <c r="BS60" s="84" t="str">
        <f aca="false">IF(BP58&gt;BP59,BL58,IF(BP58&lt;BP59,BL59,""))</f>
        <v/>
      </c>
      <c r="BT60" s="85"/>
      <c r="BU60" s="86"/>
      <c r="BV60" s="87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7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79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3"/>
      <c r="BP61" s="97" t="n">
        <f aca="false">DATE(2026,7,3)+TIME(7,0,0)+gmt_delta</f>
        <v>46206.5833333333</v>
      </c>
      <c r="BQ61" s="98"/>
      <c r="BR61" s="83"/>
      <c r="BS61" s="88" t="str">
        <f aca="false">IF(BP62&gt;BP63,BL62,IF(BP62&lt;BP63,BL63,""))</f>
        <v/>
      </c>
      <c r="BT61" s="89"/>
      <c r="BU61" s="90"/>
      <c r="BV61" s="91"/>
      <c r="BW61" s="92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7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79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1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3</v>
      </c>
      <c r="AJ62" s="42" t="n">
        <f aca="false">SUMIF($E$7:$E$78,$AE62,$G$7:$G$78) + SUMIF($H$7:$H$78,$AE62,$F$7:$F$78)</f>
        <v>0</v>
      </c>
      <c r="AL62" s="42" t="n">
        <f aca="false">AI62-AJ62</f>
        <v>3</v>
      </c>
      <c r="AM62" s="42" t="n">
        <f aca="false">AL62-AL66</f>
        <v>6</v>
      </c>
      <c r="AN62" s="42" t="n">
        <f aca="false">AF62*3+AG62</f>
        <v>3</v>
      </c>
      <c r="AO62" s="42" t="n">
        <f aca="false">AN62/AN66*10+BA62</f>
        <v>7.5</v>
      </c>
      <c r="AP62" s="42" t="n">
        <f aca="false">AO62*10000000+BI62*100+AM62/AM66*10+AI62/AI66*1++IF(AQ62=0,ROW(),AQ62)/2000000</f>
        <v>75000009.322366</v>
      </c>
      <c r="AQ62" s="46" t="n">
        <f aca="false">VLOOKUP(AE62,db_fifarank,2,FALSE())</f>
        <v>1874.82</v>
      </c>
      <c r="AR62" s="45" t="n">
        <f aca="false">AP62/AP66</f>
        <v>0.999999986666669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3" t="n">
        <v>88</v>
      </c>
      <c r="BL62" s="84" t="str">
        <f aca="false">AS27</f>
        <v>2D</v>
      </c>
      <c r="BM62" s="85"/>
      <c r="BN62" s="86"/>
      <c r="BO62" s="87"/>
      <c r="BP62" s="100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7"/>
      <c r="BX62" s="47"/>
      <c r="BY62" s="74"/>
      <c r="BZ62" s="74"/>
      <c r="CA62" s="74"/>
      <c r="CB62" s="74"/>
      <c r="CC62" s="74"/>
      <c r="CD62" s="97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79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1</v>
      </c>
      <c r="L63" s="76" t="n">
        <f aca="false">VLOOKUP(1,AD62:AN65,3,FALSE())</f>
        <v>1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3 - 0</v>
      </c>
      <c r="P63" s="77" t="n">
        <f aca="false">L63*3+M63</f>
        <v>3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4</v>
      </c>
      <c r="AE63" s="44" t="str">
        <f aca="false">VLOOKUP("Algeria",T,lang,FALSE())</f>
        <v>Algeria</v>
      </c>
      <c r="AF63" s="42" t="n">
        <f aca="false">COUNTIF($S$7:$T$78,"=" &amp; AE63 &amp; "_win")</f>
        <v>0</v>
      </c>
      <c r="AG63" s="42" t="n">
        <f aca="false">COUNTIF($S$7:$T$78,"=" &amp; AE63 &amp; "_draw")</f>
        <v>0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0</v>
      </c>
      <c r="AJ63" s="42" t="n">
        <f aca="false">SUMIF($E$7:$E$78,$AE63,$G$7:$G$78) + SUMIF($H$7:$H$78,$AE63,$F$7:$F$78)</f>
        <v>3</v>
      </c>
      <c r="AL63" s="42" t="n">
        <f aca="false">AI63-AJ63</f>
        <v>-3</v>
      </c>
      <c r="AM63" s="42" t="n">
        <f aca="false">AL63-AL66</f>
        <v>0</v>
      </c>
      <c r="AN63" s="42" t="n">
        <f aca="false">AF63*3+AG63</f>
        <v>0</v>
      </c>
      <c r="AO63" s="42" t="n">
        <f aca="false">AN63/AN66*10+BA63</f>
        <v>0</v>
      </c>
      <c r="AP63" s="42" t="n">
        <f aca="false">AO63*10000000+BI63*100+AM63/AM66*10+AI63/AI66*1++IF(AQ63=0,ROW(),AQ63)/2000000</f>
        <v>0.00078213</v>
      </c>
      <c r="AQ63" s="46" t="n">
        <f aca="false">VLOOKUP(AE63,db_fifarank,2,FALSE())</f>
        <v>1564.26</v>
      </c>
      <c r="AR63" s="45" t="n">
        <f aca="false">AP63/AP66</f>
        <v>1.04283985647234E-011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3"/>
      <c r="BL63" s="88" t="str">
        <f aca="false">AS45</f>
        <v>2G</v>
      </c>
      <c r="BM63" s="89"/>
      <c r="BN63" s="90"/>
      <c r="BO63" s="91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7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3"/>
      <c r="CD63" s="97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79"/>
      <c r="G64" s="69"/>
      <c r="H64" s="70" t="str">
        <f aca="false">AE38</f>
        <v>Netherlands</v>
      </c>
      <c r="I64" s="104"/>
      <c r="J64" s="80" t="str">
        <f aca="false">VLOOKUP(2,AD62:AN65,2,FALSE())</f>
        <v>Austria</v>
      </c>
      <c r="K64" s="81" t="n">
        <f aca="false">L64+M64+N64</f>
        <v>1</v>
      </c>
      <c r="L64" s="81" t="n">
        <f aca="false">VLOOKUP(2,AD62:AN65,3,FALSE())</f>
        <v>1</v>
      </c>
      <c r="M64" s="81" t="n">
        <f aca="false">VLOOKUP(2,AD62:AN65,4,FALSE())</f>
        <v>0</v>
      </c>
      <c r="N64" s="81" t="n">
        <f aca="false">VLOOKUP(2,AD62:AN65,5,FALSE())</f>
        <v>0</v>
      </c>
      <c r="O64" s="81" t="str">
        <f aca="false">VLOOKUP(2,AD62:AN65,6,FALSE()) &amp; " - " &amp; VLOOKUP(2,AD62:AN65,7,FALSE())</f>
        <v>3 - 1</v>
      </c>
      <c r="P64" s="82" t="n">
        <f aca="false">L64*3+M64</f>
        <v>3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0</v>
      </c>
      <c r="AH64" s="42" t="n">
        <f aca="false">COUNTIF($S$7:$T$78,"=" &amp; AE64 &amp; "_lose")</f>
        <v>0</v>
      </c>
      <c r="AI64" s="42" t="n">
        <f aca="false">SUMIF($E$7:$E$78,$AE64,$F$7:$F$78) + SUMIF($H$7:$H$78,$AE64,$G$7:$G$78)</f>
        <v>3</v>
      </c>
      <c r="AJ64" s="42" t="n">
        <f aca="false">SUMIF($E$7:$E$78,$AE64,$G$7:$G$78) + SUMIF($H$7:$H$78,$AE64,$F$7:$F$78)</f>
        <v>1</v>
      </c>
      <c r="AL64" s="42" t="n">
        <f aca="false">AI64-AJ64</f>
        <v>2</v>
      </c>
      <c r="AM64" s="42" t="n">
        <f aca="false">AL64-AL66</f>
        <v>5</v>
      </c>
      <c r="AN64" s="42" t="n">
        <f aca="false">AF64*3+AG64</f>
        <v>3</v>
      </c>
      <c r="AO64" s="42" t="n">
        <f aca="false">AN64/AN66*10+BA64</f>
        <v>7.5</v>
      </c>
      <c r="AP64" s="42" t="n">
        <f aca="false">AO64*10000000+BI64*100+AM64/AM66*10+AI64/AI66*1++IF(AQ64=0,ROW(),AQ64)/2000000</f>
        <v>75000007.8936539</v>
      </c>
      <c r="AQ64" s="46" t="n">
        <f aca="false">VLOOKUP(AE64,db_fifarank,2,FALSE())</f>
        <v>1593.45</v>
      </c>
      <c r="AR64" s="45" t="n">
        <f aca="false">AP64/AP66</f>
        <v>0.999999967617176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7"/>
      <c r="BX64" s="47"/>
      <c r="BY64" s="83" t="n">
        <v>100</v>
      </c>
      <c r="BZ64" s="84" t="str">
        <f aca="false">IF(BW60&gt;BW61,BS60,IF(BW60&lt;BW61,BS61,""))</f>
        <v/>
      </c>
      <c r="CA64" s="85"/>
      <c r="CB64" s="86"/>
      <c r="CC64" s="87"/>
      <c r="CD64" s="100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79"/>
      <c r="G65" s="69"/>
      <c r="H65" s="70" t="str">
        <f aca="false">AE26</f>
        <v>United States</v>
      </c>
      <c r="I65" s="104"/>
      <c r="J65" s="80" t="str">
        <f aca="false">VLOOKUP(3,AD62:AN65,2,FALSE())</f>
        <v>Jordan</v>
      </c>
      <c r="K65" s="81" t="n">
        <f aca="false">L65+M65+N65</f>
        <v>1</v>
      </c>
      <c r="L65" s="81" t="n">
        <f aca="false">VLOOKUP(3,AD62:AN65,3,FALSE())</f>
        <v>0</v>
      </c>
      <c r="M65" s="81" t="n">
        <f aca="false">VLOOKUP(3,AD62:AN65,4,FALSE())</f>
        <v>0</v>
      </c>
      <c r="N65" s="81" t="n">
        <f aca="false">VLOOKUP(3,AD62:AN65,5,FALSE())</f>
        <v>1</v>
      </c>
      <c r="O65" s="81" t="str">
        <f aca="false">VLOOKUP(3,AD62:AN65,6,FALSE()) &amp; " - " &amp; VLOOKUP(3,AD62:AN65,7,FALSE())</f>
        <v>1 - 3</v>
      </c>
      <c r="P65" s="82" t="n">
        <f aca="false">L65*3+M65</f>
        <v>0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3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1</v>
      </c>
      <c r="AI65" s="42" t="n">
        <f aca="false">SUMIF($E$7:$E$78,$AE65,$F$7:$F$78) + SUMIF($H$7:$H$78,$AE65,$G$7:$G$78)</f>
        <v>1</v>
      </c>
      <c r="AJ65" s="42" t="n">
        <f aca="false">SUMIF($E$7:$E$78,$AE65,$G$7:$G$78) + SUMIF($H$7:$H$78,$AE65,$F$7:$F$78)</f>
        <v>3</v>
      </c>
      <c r="AL65" s="42" t="n">
        <f aca="false">AI65-AJ65</f>
        <v>-2</v>
      </c>
      <c r="AM65" s="42" t="n">
        <f aca="false">AL65-AL66</f>
        <v>1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1.67926715357143</v>
      </c>
      <c r="AQ65" s="46" t="n">
        <f aca="false">VLOOKUP(AE65,db_fifarank,2,FALSE())</f>
        <v>1391.45</v>
      </c>
      <c r="AR65" s="45" t="n">
        <f aca="false">AP65/AP66</f>
        <v>2.23902256326843E-008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3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7"/>
      <c r="BX65" s="98"/>
      <c r="BY65" s="83"/>
      <c r="BZ65" s="88" t="str">
        <f aca="false">IF(BW68&gt;BW69,BS68,IF(BW68&lt;BW69,BS69,""))</f>
        <v/>
      </c>
      <c r="CA65" s="89"/>
      <c r="CB65" s="90"/>
      <c r="CC65" s="91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79"/>
      <c r="G66" s="69"/>
      <c r="H66" s="70" t="str">
        <f aca="false">AE28</f>
        <v>Australia</v>
      </c>
      <c r="I66" s="104"/>
      <c r="J66" s="94" t="str">
        <f aca="false">VLOOKUP(4,AD62:AN65,2,FALSE())</f>
        <v>Algeria</v>
      </c>
      <c r="K66" s="95" t="n">
        <f aca="false">L66+M66+N66</f>
        <v>1</v>
      </c>
      <c r="L66" s="95" t="n">
        <f aca="false">VLOOKUP(4,AD62:AN65,3,FALSE())</f>
        <v>0</v>
      </c>
      <c r="M66" s="95" t="n">
        <f aca="false">VLOOKUP(4,AD62:AN65,4,FALSE())</f>
        <v>0</v>
      </c>
      <c r="N66" s="95" t="n">
        <f aca="false">VLOOKUP(4,AD62:AN65,5,FALSE())</f>
        <v>1</v>
      </c>
      <c r="O66" s="95" t="str">
        <f aca="false">VLOOKUP(4,AD62:AN65,6,FALSE()) &amp; " - " &amp; VLOOKUP(4,AD62:AN65,7,FALSE())</f>
        <v>0 - 3</v>
      </c>
      <c r="P66" s="96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2</v>
      </c>
      <c r="AG66" s="42" t="n">
        <f aca="false">MAX(AG62:AG65)-MIN(AG62:AG65)+1</f>
        <v>1</v>
      </c>
      <c r="AH66" s="42" t="n">
        <f aca="false">MAX(AH62:AH65)-MIN(AH62:AH65)+1</f>
        <v>2</v>
      </c>
      <c r="AI66" s="42" t="n">
        <f aca="false">MAX(AI62:AI65)+1</f>
        <v>4</v>
      </c>
      <c r="AL66" s="42" t="n">
        <f aca="false">MIN(AL62:AL65)</f>
        <v>-3</v>
      </c>
      <c r="AM66" s="42" t="n">
        <f aca="false">MAX(AM62:AM65)+1</f>
        <v>7</v>
      </c>
      <c r="AN66" s="42" t="n">
        <f aca="false">MAX(AN62:AN65)+1</f>
        <v>4</v>
      </c>
      <c r="AO66" s="42" t="n">
        <f aca="false">MAX(AO62:AO65)+1</f>
        <v>8.5</v>
      </c>
      <c r="AP66" s="42" t="n">
        <f aca="false">MAX(AP62:AP65)+1</f>
        <v>75000010.322366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3" t="n">
        <v>85</v>
      </c>
      <c r="BL66" s="84" t="str">
        <f aca="false">AS14</f>
        <v>1B</v>
      </c>
      <c r="BM66" s="85"/>
      <c r="BN66" s="86"/>
      <c r="BO66" s="87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7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79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3"/>
      <c r="BL67" s="88" t="str">
        <f aca="false">IF(group_round_completed,VLOOKUP('3rd places'!E3,AK80:AS91,9,FALSE()),"3rd Group E/F/G/I/J")</f>
        <v>3rd Group E/F/G/I/J</v>
      </c>
      <c r="BM67" s="89"/>
      <c r="BN67" s="90"/>
      <c r="BO67" s="91"/>
      <c r="BP67" s="92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3"/>
      <c r="BW67" s="97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79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1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1</v>
      </c>
      <c r="AJ68" s="42" t="n">
        <f aca="false">SUMIF($E$7:$E$78,$AE68,$G$7:$G$78) + SUMIF($H$7:$H$78,$AE68,$F$7:$F$78)</f>
        <v>1</v>
      </c>
      <c r="AL68" s="42" t="n">
        <f aca="false">AI68-AJ68</f>
        <v>0</v>
      </c>
      <c r="AM68" s="42" t="n">
        <f aca="false">AL68-AL72</f>
        <v>2</v>
      </c>
      <c r="AN68" s="42" t="n">
        <f aca="false">AF68*3+AG68</f>
        <v>1</v>
      </c>
      <c r="AO68" s="42" t="n">
        <f aca="false">AN68/AN72*10+BA68</f>
        <v>3.48058252427184</v>
      </c>
      <c r="AP68" s="42" t="n">
        <f aca="false">AO68*10000000+BI68*100+AM68/AM72*10+AI68/AI72*1++IF(AQ68=0,ROW(),AQ68)/2000000</f>
        <v>34805927.5518528</v>
      </c>
      <c r="AQ68" s="46" t="n">
        <f aca="false">VLOOKUP(AE68,db_fifarank,2,FALSE())</f>
        <v>1763.83</v>
      </c>
      <c r="AR68" s="45" t="n">
        <f aca="false">AP68/AP72</f>
        <v>0.464078973689199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1</v>
      </c>
      <c r="AV68" s="46" t="n">
        <f aca="false" t="array" ref="AV68:AV68">SUMPRODUCT(($E$7:$E$78=AE68)*($U$7:$U$78)*($F$7:$F$78))+SUMPRODUCT(($H$7:$H$78=AE68)*($U$7:$U$78)*($G$7:$G$78))</f>
        <v>1</v>
      </c>
      <c r="AW68" s="46" t="n">
        <f aca="false" t="array" ref="AW68:AW68">SUMPRODUCT(($E$7:$E$78=AE68)*($U$7:$U$78)*($G$7:$G$78))+SUMPRODUCT(($H$7:$H$78=AE68)*($U$7:$U$78)*($F$7:$F$78))</f>
        <v>1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50.5</v>
      </c>
      <c r="BA68" s="46" t="n">
        <f aca="false">AZ68/AZ72</f>
        <v>0.980582524271845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1</v>
      </c>
      <c r="BD68" s="46" t="n">
        <f aca="false" t="array" ref="BD68:BD68">SUMPRODUCT(($E$7:$E$78=AE68)*($X$7:$X$78)*($F$7:$F$78))+SUMPRODUCT(($H$7:$H$78=AE68)*($X$7:$X$78)*($G$7:$G$78))</f>
        <v>1</v>
      </c>
      <c r="BE68" s="46" t="n">
        <f aca="false" t="array" ref="BE68:BE68">SUMPRODUCT(($E$7:$E$78=AE68)*($X$7:$X$78)*($G$7:$G$78))+SUMPRODUCT(($H$7:$H$78=AE68)*($X$7:$X$78)*($F$7:$F$78))</f>
        <v>1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50.5</v>
      </c>
      <c r="BI68" s="46" t="n">
        <f aca="false">BH68/BH72</f>
        <v>0.980582524271845</v>
      </c>
      <c r="BK68" s="74"/>
      <c r="BL68" s="74"/>
      <c r="BM68" s="74"/>
      <c r="BN68" s="74"/>
      <c r="BO68" s="74"/>
      <c r="BP68" s="97"/>
      <c r="BQ68" s="47"/>
      <c r="BR68" s="83" t="n">
        <v>96</v>
      </c>
      <c r="BS68" s="84" t="str">
        <f aca="false">IF(BP66&gt;BP67,BL66,IF(BP66&lt;BP67,BL67,""))</f>
        <v/>
      </c>
      <c r="BT68" s="85"/>
      <c r="BU68" s="86"/>
      <c r="BV68" s="87"/>
      <c r="BW68" s="100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79"/>
      <c r="G69" s="69"/>
      <c r="H69" s="70" t="str">
        <f aca="false">AE46</f>
        <v>Iran</v>
      </c>
      <c r="I69" s="104"/>
      <c r="J69" s="75" t="str">
        <f aca="false">VLOOKUP(1,AD68:AN71,2,FALSE())</f>
        <v>Colombia</v>
      </c>
      <c r="K69" s="76" t="n">
        <f aca="false">L69+M69+N69</f>
        <v>1</v>
      </c>
      <c r="L69" s="76" t="n">
        <f aca="false">VLOOKUP(1,AD68:AN71,3,FALSE())</f>
        <v>1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3 - 1</v>
      </c>
      <c r="P69" s="77" t="n">
        <f aca="false">L69*3+M69</f>
        <v>3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1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1</v>
      </c>
      <c r="AJ69" s="42" t="n">
        <f aca="false">SUMIF($E$7:$E$78,$AE69,$G$7:$G$78) + SUMIF($H$7:$H$78,$AE69,$F$7:$F$78)</f>
        <v>1</v>
      </c>
      <c r="AL69" s="42" t="n">
        <f aca="false">AI69-AJ69</f>
        <v>0</v>
      </c>
      <c r="AM69" s="42" t="n">
        <f aca="false">AL69-AL72</f>
        <v>2</v>
      </c>
      <c r="AN69" s="42" t="n">
        <f aca="false">AF69*3+AG69</f>
        <v>1</v>
      </c>
      <c r="AO69" s="42" t="n">
        <f aca="false">AN69/AN72*10+BA69</f>
        <v>3.48058252427184</v>
      </c>
      <c r="AP69" s="42" t="n">
        <f aca="false">AO69*10000000+BI69*100+AM69/AM72*10+AI69/AI72*1++IF(AQ69=0,ROW(),AQ69)/2000000</f>
        <v>34805927.55171</v>
      </c>
      <c r="AQ69" s="46" t="n">
        <f aca="false">VLOOKUP(AE69,db_fifarank,2,FALSE())</f>
        <v>1478.35</v>
      </c>
      <c r="AR69" s="45" t="n">
        <f aca="false">AP69/AP72</f>
        <v>0.464078973687296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1</v>
      </c>
      <c r="AV69" s="46" t="n">
        <f aca="false" t="array" ref="AV69:AV69">SUMPRODUCT(($E$7:$E$78=AE69)*($U$7:$U$78)*($F$7:$F$78))+SUMPRODUCT(($H$7:$H$78=AE69)*($U$7:$U$78)*($G$7:$G$78))</f>
        <v>1</v>
      </c>
      <c r="AW69" s="46" t="n">
        <f aca="false" t="array" ref="AW69:AW69">SUMPRODUCT(($E$7:$E$78=AE69)*($U$7:$U$78)*($G$7:$G$78))+SUMPRODUCT(($H$7:$H$78=AE69)*($U$7:$U$78)*($F$7:$F$78))</f>
        <v>1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50.5</v>
      </c>
      <c r="BA69" s="46" t="n">
        <f aca="false">AZ69/AZ72</f>
        <v>0.980582524271845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1</v>
      </c>
      <c r="BD69" s="46" t="n">
        <f aca="false" t="array" ref="BD69:BD69">SUMPRODUCT(($E$7:$E$78=AE69)*($X$7:$X$78)*($F$7:$F$78))+SUMPRODUCT(($H$7:$H$78=AE69)*($X$7:$X$78)*($G$7:$G$78))</f>
        <v>1</v>
      </c>
      <c r="BE69" s="46" t="n">
        <f aca="false" t="array" ref="BE69:BE69">SUMPRODUCT(($E$7:$E$78=AE69)*($X$7:$X$78)*($G$7:$G$78))+SUMPRODUCT(($H$7:$H$78=AE69)*($X$7:$X$78)*($F$7:$F$78))</f>
        <v>1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50.5</v>
      </c>
      <c r="BI69" s="46" t="n">
        <f aca="false">BH69/BH72</f>
        <v>0.980582524271845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3"/>
      <c r="BP69" s="97" t="n">
        <f aca="false">DATE(2026,7,3)+TIME(14,30,0)+gmt_delta</f>
        <v>46206.8958333333</v>
      </c>
      <c r="BQ69" s="98"/>
      <c r="BR69" s="83"/>
      <c r="BS69" s="88" t="str">
        <f aca="false">IF(BP70&gt;BP71,BL70,IF(BP70&lt;BP71,BL71,""))</f>
        <v/>
      </c>
      <c r="BT69" s="89"/>
      <c r="BU69" s="90"/>
      <c r="BV69" s="91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79"/>
      <c r="G70" s="69"/>
      <c r="H70" s="70" t="str">
        <f aca="false">AE44</f>
        <v>Belgium</v>
      </c>
      <c r="I70" s="104"/>
      <c r="J70" s="80" t="str">
        <f aca="false">VLOOKUP(2,AD68:AN71,2,FALSE())</f>
        <v>Portugal</v>
      </c>
      <c r="K70" s="81" t="n">
        <f aca="false">L70+M70+N70</f>
        <v>1</v>
      </c>
      <c r="L70" s="81" t="n">
        <f aca="false">VLOOKUP(2,AD68:AN71,3,FALSE())</f>
        <v>0</v>
      </c>
      <c r="M70" s="81" t="n">
        <f aca="false">VLOOKUP(2,AD68:AN71,4,FALSE())</f>
        <v>1</v>
      </c>
      <c r="N70" s="81" t="n">
        <f aca="false">VLOOKUP(2,AD68:AN71,5,FALSE())</f>
        <v>0</v>
      </c>
      <c r="O70" s="81" t="str">
        <f aca="false">VLOOKUP(2,AD68:AN71,6,FALSE()) &amp; " - " &amp; VLOOKUP(2,AD68:AN71,7,FALSE())</f>
        <v>1 - 1</v>
      </c>
      <c r="P70" s="82" t="n">
        <f aca="false">L70*3+M70</f>
        <v>1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1</v>
      </c>
      <c r="AI70" s="42" t="n">
        <f aca="false">SUMIF($E$7:$E$78,$AE70,$F$7:$F$78) + SUMIF($H$7:$H$78,$AE70,$G$7:$G$78)</f>
        <v>1</v>
      </c>
      <c r="AJ70" s="42" t="n">
        <f aca="false">SUMIF($E$7:$E$78,$AE70,$G$7:$G$78) + SUMIF($H$7:$H$78,$AE70,$F$7:$F$78)</f>
        <v>3</v>
      </c>
      <c r="AL70" s="42" t="n">
        <f aca="false">AI70-AJ70</f>
        <v>-2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0.25073267</v>
      </c>
      <c r="AQ70" s="46" t="n">
        <f aca="false">VLOOKUP(AE70,db_fifarank,2,FALSE())</f>
        <v>1465.34</v>
      </c>
      <c r="AR70" s="45" t="n">
        <f aca="false">AP70/AP72</f>
        <v>3.34310183202569E-009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3" t="n">
        <v>87</v>
      </c>
      <c r="BL70" s="84" t="str">
        <f aca="false">AS68</f>
        <v>1K</v>
      </c>
      <c r="BM70" s="85"/>
      <c r="BN70" s="86"/>
      <c r="BO70" s="87"/>
      <c r="BP70" s="100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79"/>
      <c r="G71" s="69"/>
      <c r="H71" s="70" t="str">
        <f aca="false">AE52</f>
        <v>Saudi Arabia</v>
      </c>
      <c r="I71" s="104"/>
      <c r="J71" s="80" t="str">
        <f aca="false">VLOOKUP(3,AD68:AN71,2,FALSE())</f>
        <v>DR Congo</v>
      </c>
      <c r="K71" s="81" t="n">
        <f aca="false">L71+M71+N71</f>
        <v>1</v>
      </c>
      <c r="L71" s="81" t="n">
        <f aca="false">VLOOKUP(3,AD68:AN71,3,FALSE())</f>
        <v>0</v>
      </c>
      <c r="M71" s="81" t="n">
        <f aca="false">VLOOKUP(3,AD68:AN71,4,FALSE())</f>
        <v>1</v>
      </c>
      <c r="N71" s="81" t="n">
        <f aca="false">VLOOKUP(3,AD68:AN71,5,FALSE())</f>
        <v>0</v>
      </c>
      <c r="O71" s="81" t="str">
        <f aca="false">VLOOKUP(3,AD68:AN71,6,FALSE()) &amp; " - " &amp; VLOOKUP(3,AD68:AN71,7,FALSE())</f>
        <v>1 - 1</v>
      </c>
      <c r="P71" s="82" t="n">
        <f aca="false">L71*3+M71</f>
        <v>1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1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3</v>
      </c>
      <c r="AJ71" s="42" t="n">
        <f aca="false">SUMIF($E$7:$E$78,$AE71,$G$7:$G$78) + SUMIF($H$7:$H$78,$AE71,$F$7:$F$78)</f>
        <v>1</v>
      </c>
      <c r="AL71" s="42" t="n">
        <f aca="false">AI71-AJ71</f>
        <v>2</v>
      </c>
      <c r="AM71" s="42" t="n">
        <f aca="false">AL71-AL72</f>
        <v>4</v>
      </c>
      <c r="AN71" s="42" t="n">
        <f aca="false">AF71*3+AG71</f>
        <v>3</v>
      </c>
      <c r="AO71" s="42" t="n">
        <f aca="false">AN71/AN72*10+BA71</f>
        <v>7.5</v>
      </c>
      <c r="AP71" s="42" t="n">
        <f aca="false">AO71*10000000+BI71*100+AM71/AM72*10+AI71/AI72*1++IF(AQ71=0,ROW(),AQ71)/2000000</f>
        <v>75000008.7508466</v>
      </c>
      <c r="AQ71" s="46" t="n">
        <f aca="false">VLOOKUP(AE71,db_fifarank,2,FALSE())</f>
        <v>1693.09</v>
      </c>
      <c r="AR71" s="45" t="n">
        <f aca="false">AP71/AP72</f>
        <v>0.999999986666669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3"/>
      <c r="BL71" s="88" t="str">
        <f aca="false">IF(group_round_completed,VLOOKUP('3rd places'!J3,AK80:AS91,9,FALSE()),"3rd Group D/E/I/J/L")</f>
        <v>3rd Group D/E/I/J/L</v>
      </c>
      <c r="BM71" s="89"/>
      <c r="BN71" s="90"/>
      <c r="BO71" s="91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79"/>
      <c r="G72" s="69"/>
      <c r="H72" s="70" t="str">
        <f aca="false">AE50</f>
        <v>Spain</v>
      </c>
      <c r="I72" s="104"/>
      <c r="J72" s="94" t="str">
        <f aca="false">VLOOKUP(4,AD68:AN71,2,FALSE())</f>
        <v>Uzbekistan</v>
      </c>
      <c r="K72" s="95" t="n">
        <f aca="false">L72+M72+N72</f>
        <v>1</v>
      </c>
      <c r="L72" s="95" t="n">
        <f aca="false">VLOOKUP(4,AD68:AN71,3,FALSE())</f>
        <v>0</v>
      </c>
      <c r="M72" s="95" t="n">
        <f aca="false">VLOOKUP(4,AD68:AN71,4,FALSE())</f>
        <v>0</v>
      </c>
      <c r="N72" s="95" t="n">
        <f aca="false">VLOOKUP(4,AD68:AN71,5,FALSE())</f>
        <v>1</v>
      </c>
      <c r="O72" s="95" t="str">
        <f aca="false">VLOOKUP(4,AD68:AN71,6,FALSE()) &amp; " - " &amp; VLOOKUP(4,AD68:AN71,7,FALSE())</f>
        <v>1 - 3</v>
      </c>
      <c r="P72" s="96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2</v>
      </c>
      <c r="AG72" s="42" t="n">
        <f aca="false">MAX(AG68:AG71)-MIN(AG68:AG71)+1</f>
        <v>2</v>
      </c>
      <c r="AH72" s="42" t="n">
        <f aca="false">MAX(AH68:AH71)-MIN(AH68:AH71)+1</f>
        <v>2</v>
      </c>
      <c r="AI72" s="42" t="n">
        <f aca="false">MAX(AI68:AI71)+1</f>
        <v>4</v>
      </c>
      <c r="AL72" s="42" t="n">
        <f aca="false">MIN(AL68:AL71)</f>
        <v>-2</v>
      </c>
      <c r="AM72" s="42" t="n">
        <f aca="false">MAX(AM68:AM71)+1</f>
        <v>5</v>
      </c>
      <c r="AN72" s="42" t="n">
        <f aca="false">MAX(AN68:AN71)+1</f>
        <v>4</v>
      </c>
      <c r="AO72" s="42" t="n">
        <f aca="false">MAX(AO68:AO71)+1</f>
        <v>8.5</v>
      </c>
      <c r="AP72" s="42" t="n">
        <f aca="false">MAX(AP68:AP71)+1</f>
        <v>75000009.7508466</v>
      </c>
      <c r="AT72" s="46" t="n">
        <f aca="false">MAX(AT68:AT71)-MIN(AT68:AT71)+1</f>
        <v>1</v>
      </c>
      <c r="AU72" s="46" t="n">
        <f aca="false">MAX(AU68:AU71)-MIN(AU68:AU71)+1</f>
        <v>2</v>
      </c>
      <c r="AV72" s="46" t="n">
        <f aca="false">MAX(AV68:AV71)-MIN(AV68:AV71)+1</f>
        <v>2</v>
      </c>
      <c r="AW72" s="46" t="n">
        <f aca="false">MAX(AW68:AW71)-MIN(AW68:AW71)+1</f>
        <v>2</v>
      </c>
      <c r="AY72" s="46" t="n">
        <f aca="false">MAX(AY68:AY71)-MIN(AY68:AY71)+1</f>
        <v>1</v>
      </c>
      <c r="AZ72" s="46" t="n">
        <f aca="false">MAX(AZ68:AZ71)+1</f>
        <v>51.5</v>
      </c>
      <c r="BB72" s="46" t="n">
        <f aca="false">MAX(BB68:BB71)-MIN(BB68:BB71)+1</f>
        <v>1</v>
      </c>
      <c r="BC72" s="46" t="n">
        <f aca="false">MAX(BC68:BC71)-MIN(BC68:BC71)+1</f>
        <v>2</v>
      </c>
      <c r="BD72" s="46" t="n">
        <f aca="false">MAX(BD68:BD71)-MIN(BD68:BD71)+1</f>
        <v>2</v>
      </c>
      <c r="BE72" s="46" t="n">
        <f aca="false">MAX(BE68:BE71)-MIN(BE68:BE71)+1</f>
        <v>2</v>
      </c>
      <c r="BG72" s="46" t="n">
        <f aca="false">MAX(BG68:BG71)-MIN(BG68:BG71)+1</f>
        <v>1</v>
      </c>
      <c r="BH72" s="46" t="n">
        <f aca="false">MAX(BH68:BH71)+1</f>
        <v>51.5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79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79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1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4</v>
      </c>
      <c r="AJ74" s="42" t="n">
        <f aca="false">SUMIF($E$7:$E$78,$AE74,$G$7:$G$78) + SUMIF($H$7:$H$78,$AE74,$F$7:$F$78)</f>
        <v>2</v>
      </c>
      <c r="AL74" s="42" t="n">
        <f aca="false">AI74-AJ74</f>
        <v>2</v>
      </c>
      <c r="AM74" s="42" t="n">
        <f aca="false">AL74-AL78</f>
        <v>4</v>
      </c>
      <c r="AN74" s="42" t="n">
        <f aca="false">AF74*3+AG74</f>
        <v>3</v>
      </c>
      <c r="AO74" s="42" t="n">
        <f aca="false">AN74/AN78*10+BA74</f>
        <v>7.5</v>
      </c>
      <c r="AP74" s="42" t="n">
        <f aca="false">AO74*10000000+BI74*100+AM74/AM78*10+AI74/AI78*1++IF(AQ74=0,ROW(),AQ74)/2000000</f>
        <v>75000008.800913</v>
      </c>
      <c r="AQ74" s="46" t="n">
        <f aca="false">VLOOKUP(AE74,db_fifarank,2,FALSE())</f>
        <v>1825.97</v>
      </c>
      <c r="AR74" s="45" t="n">
        <f aca="false">AP74/AP78</f>
        <v>0.999999986666669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79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1</v>
      </c>
      <c r="L75" s="76" t="n">
        <f aca="false">VLOOKUP(1,AD74:AN77,3,FALSE())</f>
        <v>1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4 - 2</v>
      </c>
      <c r="P75" s="77" t="n">
        <f aca="false">L75*3+M75</f>
        <v>3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4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2</v>
      </c>
      <c r="AJ75" s="42" t="n">
        <f aca="false">SUMIF($E$7:$E$78,$AE75,$G$7:$G$78) + SUMIF($H$7:$H$78,$AE75,$F$7:$F$78)</f>
        <v>4</v>
      </c>
      <c r="AL75" s="42" t="n">
        <f aca="false">AI75-AJ75</f>
        <v>-2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0.400858535</v>
      </c>
      <c r="AQ75" s="46" t="n">
        <f aca="false">VLOOKUP(AE75,db_fifarank,2,FALSE())</f>
        <v>1717.07</v>
      </c>
      <c r="AR75" s="45" t="n">
        <f aca="false">AP75/AP78</f>
        <v>5.34477976821705E-009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79"/>
      <c r="G76" s="69"/>
      <c r="H76" s="70" t="str">
        <f aca="false">AE62</f>
        <v>Argentina</v>
      </c>
      <c r="I76" s="104"/>
      <c r="J76" s="80" t="str">
        <f aca="false">VLOOKUP(2,AD74:AN77,2,FALSE())</f>
        <v>Ghana</v>
      </c>
      <c r="K76" s="81" t="n">
        <f aca="false">L76+M76+N76</f>
        <v>1</v>
      </c>
      <c r="L76" s="81" t="n">
        <f aca="false">VLOOKUP(2,AD74:AN77,3,FALSE())</f>
        <v>1</v>
      </c>
      <c r="M76" s="81" t="n">
        <f aca="false">VLOOKUP(2,AD74:AN77,4,FALSE())</f>
        <v>0</v>
      </c>
      <c r="N76" s="81" t="n">
        <f aca="false">VLOOKUP(2,AD74:AN77,5,FALSE())</f>
        <v>0</v>
      </c>
      <c r="O76" s="81" t="str">
        <f aca="false">VLOOKUP(2,AD74:AN77,6,FALSE()) &amp; " - " &amp; VLOOKUP(2,AD74:AN77,7,FALSE())</f>
        <v>1 - 0</v>
      </c>
      <c r="P76" s="82" t="n">
        <f aca="false">L76*3+M76</f>
        <v>3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2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1</v>
      </c>
      <c r="AJ76" s="42" t="n">
        <f aca="false">SUMIF($E$7:$E$78,$AE76,$G$7:$G$78) + SUMIF($H$7:$H$78,$AE76,$F$7:$F$78)</f>
        <v>0</v>
      </c>
      <c r="AL76" s="42" t="n">
        <f aca="false">AI76-AJ76</f>
        <v>1</v>
      </c>
      <c r="AM76" s="42" t="n">
        <f aca="false">AL76-AL78</f>
        <v>3</v>
      </c>
      <c r="AN76" s="42" t="n">
        <f aca="false">AF76*3+AG76</f>
        <v>3</v>
      </c>
      <c r="AO76" s="42" t="n">
        <f aca="false">AN76/AN78*10+BA76</f>
        <v>7.5</v>
      </c>
      <c r="AP76" s="42" t="n">
        <f aca="false">AO76*10000000+BI76*100+AM76/AM78*10+AI76/AI78*1++IF(AQ76=0,ROW(),AQ76)/2000000</f>
        <v>75000006.2006732</v>
      </c>
      <c r="AQ76" s="46" t="n">
        <f aca="false">VLOOKUP(AE76,db_fifarank,2,FALSE())</f>
        <v>1346.31</v>
      </c>
      <c r="AR76" s="45" t="n">
        <f aca="false">AP76/AP78</f>
        <v>0.999999951996809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79"/>
      <c r="G77" s="69"/>
      <c r="H77" s="70" t="str">
        <f aca="false">AE68</f>
        <v>Portugal</v>
      </c>
      <c r="I77" s="104"/>
      <c r="J77" s="80" t="str">
        <f aca="false">VLOOKUP(3,AD74:AN77,2,FALSE())</f>
        <v>Panama</v>
      </c>
      <c r="K77" s="81" t="n">
        <f aca="false">L77+M77+N77</f>
        <v>1</v>
      </c>
      <c r="L77" s="81" t="n">
        <f aca="false">VLOOKUP(3,AD74:AN77,3,FALSE())</f>
        <v>0</v>
      </c>
      <c r="M77" s="81" t="n">
        <f aca="false">VLOOKUP(3,AD74:AN77,4,FALSE())</f>
        <v>0</v>
      </c>
      <c r="N77" s="81" t="n">
        <f aca="false">VLOOKUP(3,AD74:AN77,5,FALSE())</f>
        <v>1</v>
      </c>
      <c r="O77" s="81" t="str">
        <f aca="false">VLOOKUP(3,AD74:AN77,6,FALSE()) &amp; " - " &amp; VLOOKUP(3,AD74:AN77,7,FALSE())</f>
        <v>0 - 1</v>
      </c>
      <c r="P77" s="82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1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1</v>
      </c>
      <c r="AL77" s="42" t="n">
        <f aca="false">AI77-AJ77</f>
        <v>-1</v>
      </c>
      <c r="AM77" s="42" t="n">
        <f aca="false">AL77-AL78</f>
        <v>1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2.00077032</v>
      </c>
      <c r="AQ77" s="46" t="n">
        <f aca="false">VLOOKUP(AE77,db_fifarank,2,FALSE())</f>
        <v>1540.64</v>
      </c>
      <c r="AR77" s="45" t="n">
        <f aca="false">AP77/AP78</f>
        <v>2.66769341138892E-008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79"/>
      <c r="G78" s="69"/>
      <c r="H78" s="70" t="str">
        <f aca="false">AE70</f>
        <v>Uzbekistan</v>
      </c>
      <c r="I78" s="104"/>
      <c r="J78" s="94" t="str">
        <f aca="false">VLOOKUP(4,AD74:AN77,2,FALSE())</f>
        <v>Croatia</v>
      </c>
      <c r="K78" s="95" t="n">
        <f aca="false">L78+M78+N78</f>
        <v>1</v>
      </c>
      <c r="L78" s="95" t="n">
        <f aca="false">VLOOKUP(4,AD74:AN77,3,FALSE())</f>
        <v>0</v>
      </c>
      <c r="M78" s="95" t="n">
        <f aca="false">VLOOKUP(4,AD74:AN77,4,FALSE())</f>
        <v>0</v>
      </c>
      <c r="N78" s="95" t="n">
        <f aca="false">VLOOKUP(4,AD74:AN77,5,FALSE())</f>
        <v>1</v>
      </c>
      <c r="O78" s="95" t="str">
        <f aca="false">VLOOKUP(4,AD74:AN77,6,FALSE()) &amp; " - " &amp; VLOOKUP(4,AD74:AN77,7,FALSE())</f>
        <v>2 - 4</v>
      </c>
      <c r="P78" s="96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2</v>
      </c>
      <c r="AG78" s="42" t="n">
        <f aca="false">MAX(AG74:AG77)-MIN(AG74:AG77)+1</f>
        <v>1</v>
      </c>
      <c r="AH78" s="42" t="n">
        <f aca="false">MAX(AH74:AH77)-MIN(AH74:AH77)+1</f>
        <v>2</v>
      </c>
      <c r="AI78" s="42" t="n">
        <f aca="false">MAX(AI74:AI77)+1</f>
        <v>5</v>
      </c>
      <c r="AL78" s="42" t="n">
        <f aca="false">MIN(AL74:AL77)</f>
        <v>-2</v>
      </c>
      <c r="AM78" s="42" t="n">
        <f aca="false">MAX(AM74:AM77)+1</f>
        <v>5</v>
      </c>
      <c r="AN78" s="42" t="n">
        <f aca="false">MAX(AN74:AN77)+1</f>
        <v>4</v>
      </c>
      <c r="AO78" s="42" t="n">
        <f aca="false">MAX(AO74:AO77)+1</f>
        <v>8.5</v>
      </c>
      <c r="AP78" s="42" t="n">
        <f aca="false">MAX(AP74:AP77)+1</f>
        <v>75000009.800913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7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0</v>
      </c>
      <c r="AH80" s="42" t="n">
        <f aca="false">VLOOKUP($AE80,$AE$8:$AQ$78,4,FALSE())</f>
        <v>1</v>
      </c>
      <c r="AI80" s="42" t="n">
        <f aca="false">VLOOKUP($AE80,$AE$8:$AQ$78,5,FALSE())</f>
        <v>1</v>
      </c>
      <c r="AJ80" s="42" t="n">
        <f aca="false">VLOOKUP($AE80,$AE$8:$AQ$78,6,FALSE())</f>
        <v>2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1</v>
      </c>
      <c r="AN80" s="42" t="n">
        <f aca="false">VLOOKUP($AE80,$AE$8:$AQ$78,10,FALSE())</f>
        <v>0</v>
      </c>
      <c r="AP80" s="42" t="n">
        <f aca="false">AN80/AN92*10000+AM80/AM92*1000+AI80/AI92*100+IF(AQ80=0,ROW(),AQ80)/2000000</f>
        <v>366.667417356667</v>
      </c>
      <c r="AQ80" s="46" t="n">
        <f aca="false">VLOOKUP($AE80,$AE$8:$AQ$78,13,FALSE())</f>
        <v>1501.38</v>
      </c>
      <c r="AR80" s="45" t="str">
        <f aca="false">IF(AD80&lt;=8,RIGHT(AK80,1),"")</f>
        <v>A</v>
      </c>
      <c r="AS80" s="114" t="str">
        <f aca="false">IF(AD80&lt;=8,AE80,"")</f>
        <v>Czech Republic</v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Ⓕ Japan</v>
      </c>
      <c r="K81" s="117" t="n">
        <f aca="false">L81+M81+N81</f>
        <v>1</v>
      </c>
      <c r="L81" s="117" t="n">
        <f aca="false">VLOOKUP(1,$AD$80:$AN$91,3,FALSE())</f>
        <v>0</v>
      </c>
      <c r="M81" s="117" t="n">
        <f aca="false">VLOOKUP(1,$AD$80:$AN$91,4,FALSE())</f>
        <v>1</v>
      </c>
      <c r="N81" s="117" t="n">
        <f aca="false">VLOOKUP(1,$AD$80:$AN$91,5,FALSE())</f>
        <v>0</v>
      </c>
      <c r="O81" s="117" t="str">
        <f aca="false">VLOOKUP(1,$AD$80:$AN$91,6,FALSE()) &amp; " - " &amp; VLOOKUP(1,$AD$80:$AN$91,7,FALSE())</f>
        <v>2 - 2</v>
      </c>
      <c r="P81" s="118" t="n">
        <f aca="false">L81*3+M81</f>
        <v>1</v>
      </c>
      <c r="AD81" s="42" t="n">
        <f aca="false">COUNTIF($AP$80:$AP$91,CONCATENATE("&gt;=",AP81))</f>
        <v>5</v>
      </c>
      <c r="AE81" s="44" t="str">
        <f aca="false">J17</f>
        <v>Qatar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0</v>
      </c>
      <c r="AI81" s="42" t="n">
        <f aca="false">VLOOKUP($AE81,$AE$8:$AQ$78,5,FALSE())</f>
        <v>1</v>
      </c>
      <c r="AJ81" s="42" t="n">
        <f aca="false">VLOOKUP($AE81,$AE$8:$AQ$78,6,FALSE())</f>
        <v>1</v>
      </c>
      <c r="AK81" s="42" t="s">
        <v>3181</v>
      </c>
      <c r="AL81" s="42" t="n">
        <f aca="false">VLOOKUP($AE81,$AE$8:$AQ$78,8,FALSE())</f>
        <v>0</v>
      </c>
      <c r="AM81" s="42" t="n">
        <f aca="false">AL81-$AL$92</f>
        <v>2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5700.00072748</v>
      </c>
      <c r="AQ81" s="46" t="n">
        <f aca="false">VLOOKUP($AE81,$AE$8:$AQ$78,13,FALSE())</f>
        <v>1454.96</v>
      </c>
      <c r="AR81" s="45" t="str">
        <f aca="false">AR80&amp;IF(AD81&lt;=8,RIGHT(AK81,1),"")</f>
        <v>AB</v>
      </c>
      <c r="AS81" s="114" t="str">
        <f aca="false">IF(AD81&lt;=8,AE81,"")</f>
        <v>Qatar</v>
      </c>
      <c r="AT81" s="115" t="str">
        <f aca="false">"Ⓑ "&amp;AE81</f>
        <v>Ⓑ Qatar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Ⓒ Morocco</v>
      </c>
      <c r="K82" s="120" t="n">
        <f aca="false">L82+M82+N82</f>
        <v>1</v>
      </c>
      <c r="L82" s="120" t="n">
        <f aca="false">VLOOKUP(2,$AD$80:$AN$91,3,FALSE())</f>
        <v>0</v>
      </c>
      <c r="M82" s="120" t="n">
        <f aca="false">VLOOKUP(2,$AD$80:$AN$91,4,FALSE())</f>
        <v>1</v>
      </c>
      <c r="N82" s="120" t="n">
        <f aca="false">VLOOKUP(2,$AD$80:$AN$91,5,FALSE())</f>
        <v>0</v>
      </c>
      <c r="O82" s="120" t="str">
        <f aca="false">VLOOKUP(2,$AD$80:$AN$91,6,FALSE()) &amp; " - " &amp; VLOOKUP(2,$AD$80:$AN$91,7,FALSE())</f>
        <v>1 - 1</v>
      </c>
      <c r="P82" s="121" t="n">
        <f aca="false">L82*3+M82</f>
        <v>1</v>
      </c>
      <c r="AD82" s="42" t="n">
        <f aca="false">COUNTIF($AP$80:$AP$91,CONCATENATE("&gt;=",AP82))</f>
        <v>2</v>
      </c>
      <c r="AE82" s="44" t="str">
        <f aca="false">J23</f>
        <v>Morocco</v>
      </c>
      <c r="AF82" s="42" t="n">
        <f aca="false">VLOOKUP($AE82,$AE$8:$AQ$78,2,FALSE())</f>
        <v>0</v>
      </c>
      <c r="AG82" s="42" t="n">
        <f aca="false">VLOOKUP($AE82,$AE$8:$AQ$78,3,FALSE())</f>
        <v>1</v>
      </c>
      <c r="AH82" s="42" t="n">
        <f aca="false">VLOOKUP($AE82,$AE$8:$AQ$78,4,FALSE())</f>
        <v>0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2</v>
      </c>
      <c r="AN82" s="42" t="n">
        <f aca="false">VLOOKUP($AE82,$AE$8:$AQ$78,10,FALSE())</f>
        <v>1</v>
      </c>
      <c r="AP82" s="42" t="n">
        <f aca="false">AN82/AN92*10000+AM82/AM92*1000+AI82/AI92*100+IF(AQ82=0,ROW(),AQ82)/2000000</f>
        <v>5700.000877935</v>
      </c>
      <c r="AQ82" s="46" t="n">
        <f aca="false">VLOOKUP($AE82,$AE$8:$AQ$78,13,FALSE())</f>
        <v>1755.87</v>
      </c>
      <c r="AR82" s="45" t="str">
        <f aca="false">AR81&amp;IF(AD82&lt;=8,RIGHT(AK82,1),"")</f>
        <v>ABC</v>
      </c>
      <c r="AS82" s="114" t="str">
        <f aca="false">IF(AD82&lt;=8,AE82,"")</f>
        <v>Morocco</v>
      </c>
      <c r="AT82" s="115" t="str">
        <f aca="false">"Ⓒ "&amp;AE82</f>
        <v>Ⓒ Morocco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Ⓖ Belgium</v>
      </c>
      <c r="K83" s="120" t="n">
        <f aca="false">L83+M83+N83</f>
        <v>1</v>
      </c>
      <c r="L83" s="120" t="n">
        <f aca="false">VLOOKUP(3,$AD$80:$AN$91,3,FALSE())</f>
        <v>0</v>
      </c>
      <c r="M83" s="120" t="n">
        <f aca="false">VLOOKUP(3,$AD$80:$AN$91,4,FALSE())</f>
        <v>1</v>
      </c>
      <c r="N83" s="120" t="n">
        <f aca="false">VLOOKUP(3,$AD$80:$AN$91,5,FALSE())</f>
        <v>0</v>
      </c>
      <c r="O83" s="120" t="str">
        <f aca="false">VLOOKUP(3,$AD$80:$AN$91,6,FALSE()) &amp; " - " &amp; VLOOKUP(3,$AD$80:$AN$91,7,FALSE())</f>
        <v>1 - 1</v>
      </c>
      <c r="P83" s="121" t="n">
        <f aca="false">L83*3+M83</f>
        <v>1</v>
      </c>
      <c r="AD83" s="42" t="n">
        <f aca="false">COUNTIF($AP$80:$AP$91,CONCATENATE("&gt;=",AP83))</f>
        <v>12</v>
      </c>
      <c r="AE83" s="44" t="str">
        <f aca="false">J29</f>
        <v>Turkey</v>
      </c>
      <c r="AF83" s="42" t="n">
        <f aca="false">VLOOKUP($AE83,$AE$8:$AQ$78,2,FALSE())</f>
        <v>0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0</v>
      </c>
      <c r="AJ83" s="42" t="n">
        <f aca="false">VLOOKUP($AE83,$AE$8:$AQ$78,6,FALSE())</f>
        <v>2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0</v>
      </c>
      <c r="AN83" s="42" t="n">
        <f aca="false">VLOOKUP($AE83,$AE$8:$AQ$78,10,FALSE())</f>
        <v>0</v>
      </c>
      <c r="AP83" s="42" t="n">
        <f aca="false">AN83/AN92*10000+AM83/AM92*1000+AI83/AI92*100+IF(AQ83=0,ROW(),AQ83)/2000000</f>
        <v>0.00079952</v>
      </c>
      <c r="AQ83" s="46" t="n">
        <f aca="false">VLOOKUP($AE83,$AE$8:$AQ$78,13,FALSE())</f>
        <v>1599.04</v>
      </c>
      <c r="AR83" s="45" t="str">
        <f aca="false">AR82&amp;IF(AD83&lt;=8,RIGHT(AK83,1),"")</f>
        <v>ABC</v>
      </c>
      <c r="AS83" s="114" t="str">
        <f aca="false">IF(AD83&lt;=8,AE83,"")</f>
        <v/>
      </c>
      <c r="AT83" s="115" t="str">
        <f aca="false">"Ⓓ "&amp;AE83</f>
        <v>Ⓓ Turkey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Ⓚ DR Congo</v>
      </c>
      <c r="K84" s="120" t="n">
        <f aca="false">L84+M84+N84</f>
        <v>1</v>
      </c>
      <c r="L84" s="120" t="n">
        <f aca="false">VLOOKUP(4,$AD$80:$AN$91,3,FALSE())</f>
        <v>0</v>
      </c>
      <c r="M84" s="120" t="n">
        <f aca="false">VLOOKUP(4,$AD$80:$AN$91,4,FALSE())</f>
        <v>1</v>
      </c>
      <c r="N84" s="120" t="n">
        <f aca="false">VLOOKUP(4,$AD$80:$AN$91,5,FALSE())</f>
        <v>0</v>
      </c>
      <c r="O84" s="120" t="str">
        <f aca="false">VLOOKUP(4,$AD$80:$AN$91,6,FALSE()) &amp; " - " &amp; VLOOKUP(4,$AD$80:$AN$91,7,FALSE())</f>
        <v>1 - 1</v>
      </c>
      <c r="P84" s="121" t="n">
        <f aca="false">L84*3+M84</f>
        <v>1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8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0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1</v>
      </c>
      <c r="AN84" s="42" t="n">
        <f aca="false">VLOOKUP($AE84,$AE$8:$AQ$78,10,FALSE())</f>
        <v>0</v>
      </c>
      <c r="AP84" s="42" t="n">
        <f aca="false">AN84/AN92*10000+AM84/AM92*1000+AI84/AI92*100+IF(AQ84=0,ROW(),AQ84)/2000000</f>
        <v>333.334130723333</v>
      </c>
      <c r="AQ84" s="46" t="n">
        <f aca="false">VLOOKUP($AE84,$AE$8:$AQ$78,13,FALSE())</f>
        <v>1594.78</v>
      </c>
      <c r="AR84" s="45" t="str">
        <f aca="false">AR83&amp;IF(AD84&lt;=8,RIGHT(AK84,1),"")</f>
        <v>ABCE</v>
      </c>
      <c r="AS84" s="114" t="str">
        <f aca="false">IF(AD84&lt;=8,AE84,"")</f>
        <v>Ecuador</v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Ⓑ Qatar</v>
      </c>
      <c r="K85" s="120" t="n">
        <f aca="false">L85+M85+N85</f>
        <v>1</v>
      </c>
      <c r="L85" s="120" t="n">
        <f aca="false">VLOOKUP(5,$AD$80:$AN$91,3,FALSE())</f>
        <v>0</v>
      </c>
      <c r="M85" s="120" t="n">
        <f aca="false">VLOOKUP(5,$AD$80:$AN$91,4,FALSE())</f>
        <v>1</v>
      </c>
      <c r="N85" s="120" t="n">
        <f aca="false">VLOOKUP(5,$AD$80:$AN$91,5,FALSE())</f>
        <v>0</v>
      </c>
      <c r="O85" s="120" t="str">
        <f aca="false">VLOOKUP(5,$AD$80:$AN$91,6,FALSE()) &amp; " - " &amp; VLOOKUP(5,$AD$80:$AN$91,7,FALSE())</f>
        <v>1 - 1</v>
      </c>
      <c r="P85" s="121" t="n">
        <f aca="false">L85*3+M85</f>
        <v>1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1</v>
      </c>
      <c r="AE85" s="44" t="str">
        <f aca="false">J41</f>
        <v>Japan</v>
      </c>
      <c r="AF85" s="42" t="n">
        <f aca="false">VLOOKUP($AE85,$AE$8:$AQ$78,2,FALSE())</f>
        <v>0</v>
      </c>
      <c r="AG85" s="42" t="n">
        <f aca="false">VLOOKUP($AE85,$AE$8:$AQ$78,3,FALSE())</f>
        <v>1</v>
      </c>
      <c r="AH85" s="42" t="n">
        <f aca="false">VLOOKUP($AE85,$AE$8:$AQ$78,4,FALSE())</f>
        <v>0</v>
      </c>
      <c r="AI85" s="42" t="n">
        <f aca="false">VLOOKUP($AE85,$AE$8:$AQ$78,5,FALSE())</f>
        <v>2</v>
      </c>
      <c r="AJ85" s="42" t="n">
        <f aca="false">VLOOKUP($AE85,$AE$8:$AQ$78,6,FALSE())</f>
        <v>2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2</v>
      </c>
      <c r="AN85" s="42" t="n">
        <f aca="false">VLOOKUP($AE85,$AE$8:$AQ$78,10,FALSE())</f>
        <v>1</v>
      </c>
      <c r="AP85" s="42" t="n">
        <f aca="false">AN85/AN92*10000+AM85/AM92*1000+AI85/AI92*100+IF(AQ85=0,ROW(),AQ85)/2000000</f>
        <v>5733.33416354833</v>
      </c>
      <c r="AQ85" s="46" t="n">
        <f aca="false">VLOOKUP($AE85,$AE$8:$AQ$78,13,FALSE())</f>
        <v>1660.43</v>
      </c>
      <c r="AR85" s="45" t="str">
        <f aca="false">AR84&amp;IF(AD85&lt;=8,RIGHT(AK85,1),"")</f>
        <v>ABCEF</v>
      </c>
      <c r="AS85" s="114" t="str">
        <f aca="false">IF(AD85&lt;=8,AE85,"")</f>
        <v>Japan</v>
      </c>
      <c r="AT85" s="115" t="str">
        <f aca="false">"Ⓕ "&amp;AE85</f>
        <v>Ⓕ Japan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Ⓗ Spain</v>
      </c>
      <c r="K86" s="120" t="n">
        <f aca="false">L86+M86+N86</f>
        <v>1</v>
      </c>
      <c r="L86" s="120" t="n">
        <f aca="false">VLOOKUP(6,$AD$80:$AN$91,3,FALSE())</f>
        <v>0</v>
      </c>
      <c r="M86" s="120" t="n">
        <f aca="false">VLOOKUP(6,$AD$80:$AN$91,4,FALSE())</f>
        <v>1</v>
      </c>
      <c r="N86" s="120" t="n">
        <f aca="false">VLOOKUP(6,$AD$80:$AN$91,5,FALSE())</f>
        <v>0</v>
      </c>
      <c r="O86" s="120" t="str">
        <f aca="false">VLOOKUP(6,$AD$80:$AN$91,6,FALSE()) &amp; " - " &amp; VLOOKUP(6,$AD$80:$AN$91,7,FALSE())</f>
        <v>0 - 0</v>
      </c>
      <c r="P86" s="121" t="n">
        <f aca="false">L86*3+M86</f>
        <v>1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3</v>
      </c>
      <c r="AE86" s="44" t="str">
        <f aca="false">J47</f>
        <v>Belgium</v>
      </c>
      <c r="AF86" s="42" t="n">
        <f aca="false">VLOOKUP($AE86,$AE$8:$AQ$78,2,FALSE())</f>
        <v>0</v>
      </c>
      <c r="AG86" s="42" t="n">
        <f aca="false">VLOOKUP($AE86,$AE$8:$AQ$78,3,FALSE())</f>
        <v>1</v>
      </c>
      <c r="AH86" s="42" t="n">
        <f aca="false">VLOOKUP($AE86,$AE$8:$AQ$78,4,FALSE())</f>
        <v>0</v>
      </c>
      <c r="AI86" s="42" t="n">
        <f aca="false">VLOOKUP($AE86,$AE$8:$AQ$78,5,FALSE())</f>
        <v>1</v>
      </c>
      <c r="AJ86" s="42" t="n">
        <f aca="false">VLOOKUP($AE86,$AE$8:$AQ$78,6,FALSE())</f>
        <v>1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2</v>
      </c>
      <c r="AN86" s="42" t="n">
        <f aca="false">VLOOKUP($AE86,$AE$8:$AQ$78,10,FALSE())</f>
        <v>1</v>
      </c>
      <c r="AP86" s="42" t="n">
        <f aca="false">AN86/AN92*10000+AM86/AM92*1000+AI86/AI92*100+IF(AQ86=0,ROW(),AQ86)/2000000</f>
        <v>5700.000867355</v>
      </c>
      <c r="AQ86" s="46" t="n">
        <f aca="false">VLOOKUP($AE86,$AE$8:$AQ$78,13,FALSE())</f>
        <v>1734.71</v>
      </c>
      <c r="AR86" s="45" t="str">
        <f aca="false">AR85&amp;IF(AD86&lt;=8,RIGHT(AK86,1),"")</f>
        <v>ABCEFG</v>
      </c>
      <c r="AS86" s="114" t="str">
        <f aca="false">IF(AD86&lt;=8,AE86,"")</f>
        <v>Belgium</v>
      </c>
      <c r="AT86" s="115" t="str">
        <f aca="false">"Ⓖ "&amp;AE86</f>
        <v>Ⓖ Belgium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Ⓐ Czech Republic</v>
      </c>
      <c r="K87" s="120" t="n">
        <f aca="false">L87+M87+N87</f>
        <v>1</v>
      </c>
      <c r="L87" s="120" t="n">
        <f aca="false">VLOOKUP(7,$AD$80:$AN$91,3,FALSE())</f>
        <v>0</v>
      </c>
      <c r="M87" s="120" t="n">
        <f aca="false">VLOOKUP(7,$AD$80:$AN$91,4,FALSE())</f>
        <v>0</v>
      </c>
      <c r="N87" s="120" t="n">
        <f aca="false">VLOOKUP(7,$AD$80:$AN$91,5,FALSE())</f>
        <v>1</v>
      </c>
      <c r="O87" s="120" t="str">
        <f aca="false">VLOOKUP(7,$AD$80:$AN$91,6,FALSE()) &amp; " - " &amp; VLOOKUP(7,$AD$80:$AN$91,7,FALSE())</f>
        <v>1 - 2</v>
      </c>
      <c r="P87" s="121" t="n">
        <f aca="false">L87*3+M87</f>
        <v>0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6</v>
      </c>
      <c r="AE87" s="44" t="str">
        <f aca="false">J53</f>
        <v>Spain</v>
      </c>
      <c r="AF87" s="42" t="n">
        <f aca="false">VLOOKUP($AE87,$AE$8:$AQ$78,2,FALSE())</f>
        <v>0</v>
      </c>
      <c r="AG87" s="42" t="n">
        <f aca="false">VLOOKUP($AE87,$AE$8:$AQ$78,3,FALSE())</f>
        <v>1</v>
      </c>
      <c r="AH87" s="42" t="n">
        <f aca="false">VLOOKUP($AE87,$AE$8:$AQ$78,4,FALSE())</f>
        <v>0</v>
      </c>
      <c r="AI87" s="42" t="n">
        <f aca="false">VLOOKUP($AE87,$AE$8:$AQ$78,5,FALSE())</f>
        <v>0</v>
      </c>
      <c r="AJ87" s="42" t="n">
        <f aca="false">VLOOKUP($AE87,$AE$8:$AQ$78,6,FALSE())</f>
        <v>0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2</v>
      </c>
      <c r="AN87" s="42" t="n">
        <f aca="false">VLOOKUP($AE87,$AE$8:$AQ$78,10,FALSE())</f>
        <v>1</v>
      </c>
      <c r="AP87" s="42" t="n">
        <f aca="false">AN87/AN92*10000+AM87/AM92*1000+AI87/AI92*100+IF(AQ87=0,ROW(),AQ87)/2000000</f>
        <v>5666.66760486667</v>
      </c>
      <c r="AQ87" s="46" t="n">
        <f aca="false">VLOOKUP($AE87,$AE$8:$AQ$78,13,FALSE())</f>
        <v>1876.4</v>
      </c>
      <c r="AR87" s="45" t="str">
        <f aca="false">AR86&amp;IF(AD87&lt;=8,RIGHT(AK87,1),"")</f>
        <v>ABCEFGH</v>
      </c>
      <c r="AS87" s="114" t="str">
        <f aca="false">IF(AD87&lt;=8,AE87,"")</f>
        <v>Spain</v>
      </c>
      <c r="AT87" s="115" t="str">
        <f aca="false">"Ⓗ "&amp;AE87</f>
        <v>Ⓗ Spain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Ⓔ Ecuador</v>
      </c>
      <c r="K88" s="120" t="n">
        <f aca="false">L88+M88+N88</f>
        <v>1</v>
      </c>
      <c r="L88" s="120" t="n">
        <f aca="false">VLOOKUP(8,$AD$80:$AN$91,3,FALSE())</f>
        <v>0</v>
      </c>
      <c r="M88" s="120" t="n">
        <f aca="false">VLOOKUP(8,$AD$80:$AN$91,4,FALSE())</f>
        <v>0</v>
      </c>
      <c r="N88" s="120" t="n">
        <f aca="false">VLOOKUP(8,$AD$80:$AN$91,5,FALSE())</f>
        <v>1</v>
      </c>
      <c r="O88" s="120" t="str">
        <f aca="false">VLOOKUP(8,$AD$80:$AN$91,6,FALSE()) &amp; " - " &amp; VLOOKUP(8,$AD$80:$AN$91,7,FALSE())</f>
        <v>0 - 1</v>
      </c>
      <c r="P88" s="121" t="n">
        <f aca="false">L88*3+M88</f>
        <v>0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10</v>
      </c>
      <c r="AE88" s="44" t="str">
        <f aca="false">J59</f>
        <v>Senegal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1</v>
      </c>
      <c r="AI88" s="42" t="n">
        <f aca="false">VLOOKUP($AE88,$AE$8:$AQ$78,5,FALSE())</f>
        <v>1</v>
      </c>
      <c r="AJ88" s="42" t="n">
        <f aca="false">VLOOKUP($AE88,$AE$8:$AQ$78,6,FALSE())</f>
        <v>3</v>
      </c>
      <c r="AK88" s="42" t="s">
        <v>3189</v>
      </c>
      <c r="AL88" s="42" t="n">
        <f aca="false">VLOOKUP($AE88,$AE$8:$AQ$78,8,FALSE())</f>
        <v>-2</v>
      </c>
      <c r="AM88" s="42" t="n">
        <f aca="false">AL88-$AL$92</f>
        <v>0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33.3341778283333</v>
      </c>
      <c r="AQ88" s="46" t="n">
        <f aca="false">VLOOKUP($AE88,$AE$8:$AQ$78,13,FALSE())</f>
        <v>1688.99</v>
      </c>
      <c r="AR88" s="45" t="str">
        <f aca="false">AR87&amp;IF(AD88&lt;=8,RIGHT(AK88,1),"")</f>
        <v>ABCEFGH</v>
      </c>
      <c r="AS88" s="114" t="str">
        <f aca="false">IF(AD88&lt;=8,AE88,"")</f>
        <v/>
      </c>
      <c r="AT88" s="115" t="str">
        <f aca="false">"Ⓘ "&amp;AE88</f>
        <v>Ⓘ Senegal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Ⓛ Panama</v>
      </c>
      <c r="K89" s="124" t="n">
        <f aca="false">L89+M89+N89</f>
        <v>1</v>
      </c>
      <c r="L89" s="124" t="n">
        <f aca="false">VLOOKUP(9,$AD$80:$AN$91,3,FALSE())</f>
        <v>0</v>
      </c>
      <c r="M89" s="124" t="n">
        <f aca="false">VLOOKUP(9,$AD$80:$AN$91,4,FALSE())</f>
        <v>0</v>
      </c>
      <c r="N89" s="124" t="n">
        <f aca="false">VLOOKUP(9,$AD$80:$AN$91,5,FALSE())</f>
        <v>1</v>
      </c>
      <c r="O89" s="124" t="str">
        <f aca="false">VLOOKUP(9,$AD$80:$AN$91,6,FALSE()) &amp; " - " &amp; VLOOKUP(9,$AD$80:$AN$91,7,FALSE())</f>
        <v>0 - 1</v>
      </c>
      <c r="P89" s="125" t="n">
        <f aca="false">L89*3+M89</f>
        <v>0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11</v>
      </c>
      <c r="AE89" s="44" t="str">
        <f aca="false">J65</f>
        <v>Jordan</v>
      </c>
      <c r="AF89" s="42" t="n">
        <f aca="false">VLOOKUP($AE89,$AE$8:$AQ$78,2,FALSE())</f>
        <v>0</v>
      </c>
      <c r="AG89" s="42" t="n">
        <f aca="false">VLOOKUP($AE89,$AE$8:$AQ$78,3,FALSE())</f>
        <v>0</v>
      </c>
      <c r="AH89" s="42" t="n">
        <f aca="false">VLOOKUP($AE89,$AE$8:$AQ$78,4,FALSE())</f>
        <v>1</v>
      </c>
      <c r="AI89" s="42" t="n">
        <f aca="false">VLOOKUP($AE89,$AE$8:$AQ$78,5,FALSE())</f>
        <v>1</v>
      </c>
      <c r="AJ89" s="42" t="n">
        <f aca="false">VLOOKUP($AE89,$AE$8:$AQ$78,6,FALSE())</f>
        <v>3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0</v>
      </c>
      <c r="AN89" s="42" t="n">
        <f aca="false">VLOOKUP($AE89,$AE$8:$AQ$78,10,FALSE())</f>
        <v>0</v>
      </c>
      <c r="AP89" s="42" t="n">
        <f aca="false">AN89/AN92*10000+AM89/AM92*1000+AI89/AI92*100+IF(AQ89=0,ROW(),AQ89)/2000000</f>
        <v>33.3340290583333</v>
      </c>
      <c r="AQ89" s="46" t="n">
        <f aca="false">VLOOKUP($AE89,$AE$8:$AQ$78,13,FALSE())</f>
        <v>1391.45</v>
      </c>
      <c r="AR89" s="45" t="str">
        <f aca="false">AR88&amp;IF(AD89&lt;=8,RIGHT(AK89,1),"")</f>
        <v>ABCEFGH</v>
      </c>
      <c r="AS89" s="114" t="str">
        <f aca="false">IF(AD89&lt;=8,AE89,"")</f>
        <v/>
      </c>
      <c r="AT89" s="115" t="str">
        <f aca="false">"Ⓙ "&amp;AE89</f>
        <v>Ⓙ Jordan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Ⓘ Senegal</v>
      </c>
      <c r="K90" s="124" t="n">
        <f aca="false">L90+M90+N90</f>
        <v>1</v>
      </c>
      <c r="L90" s="124" t="n">
        <f aca="false">VLOOKUP(10,$AD$80:$AN$91,3,FALSE())</f>
        <v>0</v>
      </c>
      <c r="M90" s="124" t="n">
        <f aca="false">VLOOKUP(10,$AD$80:$AN$91,4,FALSE())</f>
        <v>0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1 - 3</v>
      </c>
      <c r="P90" s="125" t="n">
        <f aca="false">L90*3+M90</f>
        <v>0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4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1</v>
      </c>
      <c r="AH90" s="42" t="n">
        <f aca="false">VLOOKUP($AE90,$AE$8:$AQ$78,4,FALSE())</f>
        <v>0</v>
      </c>
      <c r="AI90" s="42" t="n">
        <f aca="false">VLOOKUP($AE90,$AE$8:$AQ$78,5,FALSE())</f>
        <v>1</v>
      </c>
      <c r="AJ90" s="42" t="n">
        <f aca="false">VLOOKUP($AE90,$AE$8:$AQ$78,6,FALSE())</f>
        <v>1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2</v>
      </c>
      <c r="AN90" s="42" t="n">
        <f aca="false">VLOOKUP($AE90,$AE$8:$AQ$78,10,FALSE())</f>
        <v>1</v>
      </c>
      <c r="AP90" s="42" t="n">
        <f aca="false">AN90/AN92*10000+AM90/AM92*1000+AI90/AI92*100+IF(AQ90=0,ROW(),AQ90)/2000000</f>
        <v>5700.000739175</v>
      </c>
      <c r="AQ90" s="46" t="n">
        <f aca="false">VLOOKUP($AE90,$AE$8:$AQ$78,13,FALSE())</f>
        <v>1478.35</v>
      </c>
      <c r="AR90" s="45" t="str">
        <f aca="false">AR89&amp;IF(AD90&lt;=8,RIGHT(AK90,1),"")</f>
        <v>ABCEFGHK</v>
      </c>
      <c r="AS90" s="114" t="str">
        <f aca="false">IF(AD90&lt;=8,AE90,"")</f>
        <v>DR Congo</v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Ⓙ Jordan</v>
      </c>
      <c r="K91" s="124" t="n">
        <f aca="false">L91+M91+N91</f>
        <v>1</v>
      </c>
      <c r="L91" s="124" t="n">
        <f aca="false">VLOOKUP(11,$AD$80:$AN$91,3,FALSE())</f>
        <v>0</v>
      </c>
      <c r="M91" s="124" t="n">
        <f aca="false">VLOOKUP(11,$AD$80:$AN$91,4,FALSE())</f>
        <v>0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1 - 3</v>
      </c>
      <c r="P91" s="125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9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1</v>
      </c>
      <c r="AI91" s="42" t="n">
        <f aca="false">VLOOKUP($AE91,$AE$8:$AQ$78,5,FALSE())</f>
        <v>0</v>
      </c>
      <c r="AJ91" s="42" t="n">
        <f aca="false">VLOOKUP($AE91,$AE$8:$AQ$78,6,FALSE())</f>
        <v>1</v>
      </c>
      <c r="AK91" s="42" t="s">
        <v>3192</v>
      </c>
      <c r="AL91" s="42" t="n">
        <f aca="false">VLOOKUP($AE91,$AE$8:$AQ$78,8,FALSE())</f>
        <v>-1</v>
      </c>
      <c r="AM91" s="42" t="n">
        <f aca="false">AL91-$AL$92</f>
        <v>1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333.334103653333</v>
      </c>
      <c r="AQ91" s="46" t="n">
        <f aca="false">VLOOKUP($AE91,$AE$8:$AQ$78,13,FALSE())</f>
        <v>1540.64</v>
      </c>
      <c r="AR91" s="45" t="str">
        <f aca="false">AR90&amp;IF(AD91&lt;=8,RIGHT(AK91,1),"")</f>
        <v>ABCEFGHK</v>
      </c>
      <c r="AS91" s="114" t="str">
        <f aca="false">IF(AD91&lt;=8,AE91,"")</f>
        <v/>
      </c>
      <c r="AT91" s="115" t="str">
        <f aca="false">"Ⓛ "&amp;AE91</f>
        <v>Ⓛ Panama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Ⓓ Turkey</v>
      </c>
      <c r="K92" s="127" t="n">
        <f aca="false">L92+M92+N92</f>
        <v>1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1</v>
      </c>
      <c r="O92" s="127" t="str">
        <f aca="false">VLOOKUP(12,$AD$80:$AN$91,6,FALSE()) &amp; " - " &amp; VLOOKUP(12,$AD$80:$AN$91,7,FALSE())</f>
        <v>0 - 2</v>
      </c>
      <c r="P92" s="128" t="n">
        <f aca="false">L92*3+M92</f>
        <v>0</v>
      </c>
      <c r="AF92" s="42" t="n">
        <f aca="false">MAX(AF80:AF91)+1</f>
        <v>1</v>
      </c>
      <c r="AG92" s="42" t="n">
        <f aca="false">MAX(AG80:AG91)+1</f>
        <v>2</v>
      </c>
      <c r="AH92" s="42" t="n">
        <f aca="false">MAX(AH80:AH91)+1</f>
        <v>2</v>
      </c>
      <c r="AI92" s="42" t="n">
        <f aca="false">MAX(AI80:AI91)+1</f>
        <v>3</v>
      </c>
      <c r="AJ92" s="42" t="n">
        <f aca="false">MAX(AJ80:AJ91)+1</f>
        <v>4</v>
      </c>
      <c r="AL92" s="42" t="n">
        <f aca="false">MIN(AL80:AL91)</f>
        <v>-2</v>
      </c>
      <c r="AM92" s="42" t="n">
        <f aca="false">MAX(AM80:AM91)+1</f>
        <v>3</v>
      </c>
      <c r="AN92" s="42" t="n">
        <f aca="false">MAX(AN80:AN91)+1</f>
        <v>2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55" colorId="64" zoomScale="124" zoomScaleNormal="124" zoomScalePageLayoutView="100" workbookViewId="0">
      <selection pane="topLeft" activeCell="D1" activeCellId="0" sqref="D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423</v>
      </c>
      <c r="C3" s="133" t="str">
        <f aca="false">'2026 World Cup'!AR91</f>
        <v>ABCEFGHK</v>
      </c>
      <c r="D3" s="133" t="str">
        <f aca="false">VLOOKUP($C3,$C$6:$K$500,2,FALSE())</f>
        <v>3H</v>
      </c>
      <c r="E3" s="133" t="str">
        <f aca="false">VLOOKUP($C3,$C$6:$K$500,3,FALSE())</f>
        <v>3G</v>
      </c>
      <c r="F3" s="133" t="str">
        <f aca="false">VLOOKUP($C3,$C$6:$K$500,4,FALSE())</f>
        <v>3B</v>
      </c>
      <c r="G3" s="133" t="str">
        <f aca="false">VLOOKUP($C3,$C$6:$K$500,5,FALSE())</f>
        <v>3C</v>
      </c>
      <c r="H3" s="133" t="str">
        <f aca="false">VLOOKUP($C3,$C$6:$K$500,6,FALSE())</f>
        <v>3A</v>
      </c>
      <c r="I3" s="133" t="str">
        <f aca="false">VLOOKUP($C3,$C$6:$K$500,7,FALSE())</f>
        <v>3F</v>
      </c>
      <c r="J3" s="133" t="str">
        <f aca="false">VLOOKUP($C3,$C$6:$K$500,8,FALSE())</f>
        <v>3E</v>
      </c>
      <c r="K3" s="134" t="str">
        <f aca="false">VLOOKUP($C3,$C$6:$K$500,9,FALSE())</f>
        <v>3K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2026-06-18T13:56:34Z</dcterms:modified>
  <cp:revision>17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