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<sst xmlns="http://schemas.openxmlformats.org/spreadsheetml/2006/main" count="9786" uniqueCount="3698">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</sst>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1459440</xdr:colOff>
      <xdr:row>13</xdr:row>
      <xdr:rowOff>157320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1453680</xdr:colOff>
      <xdr:row>50</xdr:row>
      <xdr:rowOff>152280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1463760</xdr:colOff>
      <xdr:row>9</xdr:row>
      <xdr:rowOff>156600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1463400</xdr:colOff>
      <xdr:row>24</xdr:row>
      <xdr:rowOff>156600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1463760</xdr:colOff>
      <xdr:row>18</xdr:row>
      <xdr:rowOff>156600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1464120</xdr:colOff>
      <xdr:row>22</xdr:row>
      <xdr:rowOff>159120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213480</xdr:colOff>
      <xdr:row>36</xdr:row>
      <xdr:rowOff>149400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216000</xdr:colOff>
      <xdr:row>35</xdr:row>
      <xdr:rowOff>159120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213480</xdr:colOff>
      <xdr:row>27</xdr:row>
      <xdr:rowOff>159120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1463400</xdr:colOff>
      <xdr:row>15</xdr:row>
      <xdr:rowOff>149760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213480</xdr:colOff>
      <xdr:row>16</xdr:row>
      <xdr:rowOff>140040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1463400</xdr:colOff>
      <xdr:row>19</xdr:row>
      <xdr:rowOff>149760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1463400</xdr:colOff>
      <xdr:row>21</xdr:row>
      <xdr:rowOff>149760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172440</xdr:colOff>
      <xdr:row>13</xdr:row>
      <xdr:rowOff>150120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536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1463400</xdr:colOff>
      <xdr:row>42</xdr:row>
      <xdr:rowOff>150120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215640</xdr:colOff>
      <xdr:row>76</xdr:row>
      <xdr:rowOff>150120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1463400</xdr:colOff>
      <xdr:row>12</xdr:row>
      <xdr:rowOff>150480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200520</xdr:colOff>
      <xdr:row>32</xdr:row>
      <xdr:rowOff>155160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1448280</xdr:colOff>
      <xdr:row>27</xdr:row>
      <xdr:rowOff>149760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152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1458360</xdr:colOff>
      <xdr:row>36</xdr:row>
      <xdr:rowOff>158760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1460520</xdr:colOff>
      <xdr:row>48</xdr:row>
      <xdr:rowOff>159120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210600</xdr:colOff>
      <xdr:row>43</xdr:row>
      <xdr:rowOff>153360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1455120</xdr:colOff>
      <xdr:row>47</xdr:row>
      <xdr:rowOff>154440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1465560</xdr:colOff>
      <xdr:row>11</xdr:row>
      <xdr:rowOff>154440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210600</xdr:colOff>
      <xdr:row>12</xdr:row>
      <xdr:rowOff>144720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1455120</xdr:colOff>
      <xdr:row>73</xdr:row>
      <xdr:rowOff>156960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1460520</xdr:colOff>
      <xdr:row>38</xdr:row>
      <xdr:rowOff>151920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207360</xdr:colOff>
      <xdr:row>41</xdr:row>
      <xdr:rowOff>145080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1454400</xdr:colOff>
      <xdr:row>43</xdr:row>
      <xdr:rowOff>156960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1445400</xdr:colOff>
      <xdr:row>44</xdr:row>
      <xdr:rowOff>156960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1437840</xdr:colOff>
      <xdr:row>31</xdr:row>
      <xdr:rowOff>157320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536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1455840</xdr:colOff>
      <xdr:row>71</xdr:row>
      <xdr:rowOff>157680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1445400</xdr:colOff>
      <xdr:row>28</xdr:row>
      <xdr:rowOff>157680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1465560</xdr:colOff>
      <xdr:row>34</xdr:row>
      <xdr:rowOff>155520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207000</xdr:colOff>
      <xdr:row>57</xdr:row>
      <xdr:rowOff>154080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216360</xdr:colOff>
      <xdr:row>72</xdr:row>
      <xdr:rowOff>143640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213480</xdr:colOff>
      <xdr:row>64</xdr:row>
      <xdr:rowOff>145800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214560</xdr:colOff>
      <xdr:row>75</xdr:row>
      <xdr:rowOff>151560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215640</xdr:colOff>
      <xdr:row>70</xdr:row>
      <xdr:rowOff>155880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214560</xdr:colOff>
      <xdr:row>66</xdr:row>
      <xdr:rowOff>147960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216000</xdr:colOff>
      <xdr:row>65</xdr:row>
      <xdr:rowOff>157680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1459800</xdr:colOff>
      <xdr:row>55</xdr:row>
      <xdr:rowOff>155160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216000</xdr:colOff>
      <xdr:row>51</xdr:row>
      <xdr:rowOff>155880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212040</xdr:colOff>
      <xdr:row>61</xdr:row>
      <xdr:rowOff>153360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1472760</xdr:colOff>
      <xdr:row>62</xdr:row>
      <xdr:rowOff>145440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212040</xdr:colOff>
      <xdr:row>71</xdr:row>
      <xdr:rowOff>154800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212040</xdr:colOff>
      <xdr:row>69</xdr:row>
      <xdr:rowOff>155880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1447560</xdr:colOff>
      <xdr:row>52</xdr:row>
      <xdr:rowOff>156600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201960</xdr:colOff>
      <xdr:row>15</xdr:row>
      <xdr:rowOff>145080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192600</xdr:colOff>
      <xdr:row>39</xdr:row>
      <xdr:rowOff>145080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1449720</xdr:colOff>
      <xdr:row>60</xdr:row>
      <xdr:rowOff>145080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201960</xdr:colOff>
      <xdr:row>6</xdr:row>
      <xdr:rowOff>145080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192600</xdr:colOff>
      <xdr:row>30</xdr:row>
      <xdr:rowOff>145080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1449720</xdr:colOff>
      <xdr:row>59</xdr:row>
      <xdr:rowOff>145080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1450080</xdr:colOff>
      <xdr:row>7</xdr:row>
      <xdr:rowOff>144720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416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1449720</xdr:colOff>
      <xdr:row>6</xdr:row>
      <xdr:rowOff>135360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183240</xdr:colOff>
      <xdr:row>33</xdr:row>
      <xdr:rowOff>135360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416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192600</xdr:colOff>
      <xdr:row>59</xdr:row>
      <xdr:rowOff>135360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416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1449720</xdr:colOff>
      <xdr:row>33</xdr:row>
      <xdr:rowOff>135360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201960</xdr:colOff>
      <xdr:row>58</xdr:row>
      <xdr:rowOff>135360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211680</xdr:colOff>
      <xdr:row>7</xdr:row>
      <xdr:rowOff>144720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1459440</xdr:colOff>
      <xdr:row>30</xdr:row>
      <xdr:rowOff>154440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1449720</xdr:colOff>
      <xdr:row>58</xdr:row>
      <xdr:rowOff>135360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1459440</xdr:colOff>
      <xdr:row>8</xdr:row>
      <xdr:rowOff>145080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1459440</xdr:colOff>
      <xdr:row>32</xdr:row>
      <xdr:rowOff>145080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201960</xdr:colOff>
      <xdr:row>56</xdr:row>
      <xdr:rowOff>145080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211680</xdr:colOff>
      <xdr:row>8</xdr:row>
      <xdr:rowOff>145080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202320</xdr:colOff>
      <xdr:row>31</xdr:row>
      <xdr:rowOff>145080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1459440</xdr:colOff>
      <xdr:row>57</xdr:row>
      <xdr:rowOff>145080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201960</xdr:colOff>
      <xdr:row>9</xdr:row>
      <xdr:rowOff>145080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192600</xdr:colOff>
      <xdr:row>37</xdr:row>
      <xdr:rowOff>145080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1459440</xdr:colOff>
      <xdr:row>65</xdr:row>
      <xdr:rowOff>145080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1459440</xdr:colOff>
      <xdr:row>10</xdr:row>
      <xdr:rowOff>144720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202320</xdr:colOff>
      <xdr:row>34</xdr:row>
      <xdr:rowOff>154440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211680</xdr:colOff>
      <xdr:row>55</xdr:row>
      <xdr:rowOff>154440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211680</xdr:colOff>
      <xdr:row>10</xdr:row>
      <xdr:rowOff>145080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1459440</xdr:colOff>
      <xdr:row>35</xdr:row>
      <xdr:rowOff>145080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1459440</xdr:colOff>
      <xdr:row>54</xdr:row>
      <xdr:rowOff>145080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201960</xdr:colOff>
      <xdr:row>11</xdr:row>
      <xdr:rowOff>145080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1449720</xdr:colOff>
      <xdr:row>37</xdr:row>
      <xdr:rowOff>145080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1459440</xdr:colOff>
      <xdr:row>64</xdr:row>
      <xdr:rowOff>145080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211680</xdr:colOff>
      <xdr:row>54</xdr:row>
      <xdr:rowOff>154440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1440360</xdr:colOff>
      <xdr:row>56</xdr:row>
      <xdr:rowOff>154440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536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1459440</xdr:colOff>
      <xdr:row>14</xdr:row>
      <xdr:rowOff>144720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211680</xdr:colOff>
      <xdr:row>38</xdr:row>
      <xdr:rowOff>154440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211680</xdr:colOff>
      <xdr:row>60</xdr:row>
      <xdr:rowOff>154440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202320</xdr:colOff>
      <xdr:row>14</xdr:row>
      <xdr:rowOff>144720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1459440</xdr:colOff>
      <xdr:row>39</xdr:row>
      <xdr:rowOff>154440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1459440</xdr:colOff>
      <xdr:row>61</xdr:row>
      <xdr:rowOff>154440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1459440</xdr:colOff>
      <xdr:row>16</xdr:row>
      <xdr:rowOff>154440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1459440</xdr:colOff>
      <xdr:row>40</xdr:row>
      <xdr:rowOff>154440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211680</xdr:colOff>
      <xdr:row>63</xdr:row>
      <xdr:rowOff>154440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1459440</xdr:colOff>
      <xdr:row>17</xdr:row>
      <xdr:rowOff>154440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211680</xdr:colOff>
      <xdr:row>40</xdr:row>
      <xdr:rowOff>144720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211680</xdr:colOff>
      <xdr:row>62</xdr:row>
      <xdr:rowOff>144720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211680</xdr:colOff>
      <xdr:row>17</xdr:row>
      <xdr:rowOff>154440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1459440</xdr:colOff>
      <xdr:row>41</xdr:row>
      <xdr:rowOff>154440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1459440</xdr:colOff>
      <xdr:row>63</xdr:row>
      <xdr:rowOff>154440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202320</xdr:colOff>
      <xdr:row>18</xdr:row>
      <xdr:rowOff>145080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202320</xdr:colOff>
      <xdr:row>19</xdr:row>
      <xdr:rowOff>145080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202320</xdr:colOff>
      <xdr:row>42</xdr:row>
      <xdr:rowOff>145080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1459440</xdr:colOff>
      <xdr:row>70</xdr:row>
      <xdr:rowOff>145080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1459440</xdr:colOff>
      <xdr:row>20</xdr:row>
      <xdr:rowOff>145080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202320</xdr:colOff>
      <xdr:row>44</xdr:row>
      <xdr:rowOff>145080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202320</xdr:colOff>
      <xdr:row>68</xdr:row>
      <xdr:rowOff>145080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1459440</xdr:colOff>
      <xdr:row>23</xdr:row>
      <xdr:rowOff>145080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202320</xdr:colOff>
      <xdr:row>47</xdr:row>
      <xdr:rowOff>145080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202320</xdr:colOff>
      <xdr:row>67</xdr:row>
      <xdr:rowOff>145080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1450080</xdr:colOff>
      <xdr:row>45</xdr:row>
      <xdr:rowOff>145080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1459440</xdr:colOff>
      <xdr:row>69</xdr:row>
      <xdr:rowOff>145080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202320</xdr:colOff>
      <xdr:row>20</xdr:row>
      <xdr:rowOff>145080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202320</xdr:colOff>
      <xdr:row>21</xdr:row>
      <xdr:rowOff>154440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202320</xdr:colOff>
      <xdr:row>45</xdr:row>
      <xdr:rowOff>154440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1459440</xdr:colOff>
      <xdr:row>68</xdr:row>
      <xdr:rowOff>154440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202320</xdr:colOff>
      <xdr:row>22</xdr:row>
      <xdr:rowOff>145080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202320</xdr:colOff>
      <xdr:row>46</xdr:row>
      <xdr:rowOff>145080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1459440</xdr:colOff>
      <xdr:row>67</xdr:row>
      <xdr:rowOff>145080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324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1459440</xdr:colOff>
      <xdr:row>66</xdr:row>
      <xdr:rowOff>154440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1459440</xdr:colOff>
      <xdr:row>46</xdr:row>
      <xdr:rowOff>144720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202320</xdr:colOff>
      <xdr:row>23</xdr:row>
      <xdr:rowOff>154440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192600</xdr:colOff>
      <xdr:row>24</xdr:row>
      <xdr:rowOff>135360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192600</xdr:colOff>
      <xdr:row>49</xdr:row>
      <xdr:rowOff>135360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1449720</xdr:colOff>
      <xdr:row>74</xdr:row>
      <xdr:rowOff>144720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3520" cy="11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1449720</xdr:colOff>
      <xdr:row>25</xdr:row>
      <xdr:rowOff>145080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192600</xdr:colOff>
      <xdr:row>48</xdr:row>
      <xdr:rowOff>145080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192600</xdr:colOff>
      <xdr:row>74</xdr:row>
      <xdr:rowOff>145080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202320</xdr:colOff>
      <xdr:row>25</xdr:row>
      <xdr:rowOff>144720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1450080</xdr:colOff>
      <xdr:row>75</xdr:row>
      <xdr:rowOff>154440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1450080</xdr:colOff>
      <xdr:row>49</xdr:row>
      <xdr:rowOff>154440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192600</xdr:colOff>
      <xdr:row>26</xdr:row>
      <xdr:rowOff>135360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1449720</xdr:colOff>
      <xdr:row>51</xdr:row>
      <xdr:rowOff>145080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1449720</xdr:colOff>
      <xdr:row>72</xdr:row>
      <xdr:rowOff>145080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1459440</xdr:colOff>
      <xdr:row>26</xdr:row>
      <xdr:rowOff>154440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211680</xdr:colOff>
      <xdr:row>50</xdr:row>
      <xdr:rowOff>154440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211680</xdr:colOff>
      <xdr:row>73</xdr:row>
      <xdr:rowOff>154440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192600</xdr:colOff>
      <xdr:row>28</xdr:row>
      <xdr:rowOff>145080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192600</xdr:colOff>
      <xdr:row>53</xdr:row>
      <xdr:rowOff>145080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1449720</xdr:colOff>
      <xdr:row>77</xdr:row>
      <xdr:rowOff>145080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3520" cy="126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211680</xdr:colOff>
      <xdr:row>29</xdr:row>
      <xdr:rowOff>154440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1450080</xdr:colOff>
      <xdr:row>76</xdr:row>
      <xdr:rowOff>154440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1450080</xdr:colOff>
      <xdr:row>53</xdr:row>
      <xdr:rowOff>154440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260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1459440</xdr:colOff>
      <xdr:row>29</xdr:row>
      <xdr:rowOff>154440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202320</xdr:colOff>
      <xdr:row>52</xdr:row>
      <xdr:rowOff>154440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202320</xdr:colOff>
      <xdr:row>77</xdr:row>
      <xdr:rowOff>154440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3240" cy="135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K29" colorId="64" zoomScale="124" zoomScaleNormal="124" zoomScalePageLayoutView="100" workbookViewId="0">
      <selection pane="topLeft" activeCell="CI56" activeCellId="0" sqref="CI5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 t="n">
        <v>0</v>
      </c>
      <c r="CI23" s="85"/>
      <c r="CJ23" s="86"/>
      <c r="CK23" s="47" t="n">
        <f aca="false">IF(OR(CH23="",CH24="",AND(CI23="",CI24&lt;&gt;""),AND(CI24="",CI23&lt;&gt;""),AND(CJ23="",CJ24&lt;&gt;""),AND(CJ24="",CJ23&lt;&gt;"")),"",CH23*1000+CI23*10+CJ23)</f>
        <v>0</v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>Spain</v>
      </c>
      <c r="CH24" s="88" t="n">
        <v>2</v>
      </c>
      <c r="CI24" s="89"/>
      <c r="CJ24" s="90"/>
      <c r="CK24" s="91" t="n">
        <f aca="false">IF(CK23="","",CH24*1000+CI24*10+CJ24)</f>
        <v>2000</v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 t="n">
        <v>2</v>
      </c>
      <c r="CB32" s="85"/>
      <c r="CC32" s="86"/>
      <c r="CD32" s="98" t="n">
        <f aca="false">IF(OR(CA32="",CA33="",AND(CB32="",CB33&lt;&gt;""),AND(CB33="",CB32&lt;&gt;""),AND(CC32="",CC33&lt;&gt;""),AND(CC33="",CC32&lt;&gt;"")),"",CA32*1000+CB32*10+CC32)</f>
        <v>2000</v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 t="n">
        <v>1</v>
      </c>
      <c r="CB33" s="89"/>
      <c r="CC33" s="90"/>
      <c r="CD33" s="47" t="n">
        <f aca="false">IF(CD32="","",CA33*1000+CB33*10+CC33)</f>
        <v>1000</v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>Spain</v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>Argentina</v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 t="n">
        <v>1</v>
      </c>
      <c r="CB48" s="85" t="n">
        <v>0</v>
      </c>
      <c r="CC48" s="86"/>
      <c r="CD48" s="47" t="n">
        <f aca="false">IF(OR(CA48="",CA49="",AND(CB48="",CB49&lt;&gt;""),AND(CB49="",CB48&lt;&gt;""),AND(CC48="",CC49&lt;&gt;""),AND(CC49="",CC48&lt;&gt;"")),"",CA48*1000+CB48*10+CC48)</f>
        <v>1000</v>
      </c>
      <c r="CK48" s="96"/>
      <c r="CL48" s="47"/>
      <c r="CM48" s="82" t="n">
        <v>103</v>
      </c>
      <c r="CN48" s="83" t="str">
        <f aca="false">IF(CK23&gt;CK24,CG24,IF(CK23&lt;CK24,CG23,""))</f>
        <v>France</v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 t="n">
        <v>1</v>
      </c>
      <c r="CB49" s="89" t="n">
        <v>1</v>
      </c>
      <c r="CC49" s="90"/>
      <c r="CD49" s="91" t="n">
        <f aca="false">IF(CD48="","",CA49*1000+CB49*10+CC49)</f>
        <v>1010</v>
      </c>
      <c r="CK49" s="96"/>
      <c r="CL49" s="97"/>
      <c r="CM49" s="82"/>
      <c r="CN49" s="87" t="str">
        <f aca="false">IF(CK55&gt;CK56,CG56,IF(CK55&lt;CK56,CG55,""))</f>
        <v>England</v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>England</v>
      </c>
      <c r="CH55" s="84" t="n">
        <v>1</v>
      </c>
      <c r="CI55" s="85"/>
      <c r="CJ55" s="86"/>
      <c r="CK55" s="98" t="n">
        <f aca="false">IF(OR(CH55="",CH56="",AND(CI55="",CI56&lt;&gt;""),AND(CI56="",CI55&lt;&gt;""),AND(CJ55="",CJ56&lt;&gt;""),AND(CJ56="",CJ55&lt;&gt;"")),"",CH55*1000+CI55*10+CJ55)</f>
        <v>1000</v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>Argentina</v>
      </c>
      <c r="CH56" s="88" t="n">
        <v>2</v>
      </c>
      <c r="CI56" s="89"/>
      <c r="CJ56" s="90"/>
      <c r="CK56" s="47" t="n">
        <f aca="false">IF(CK55="","",CH56*1000+CI56*10+CJ56)</f>
        <v>2000</v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 t="n">
        <v>1</v>
      </c>
      <c r="CB64" s="85" t="n">
        <v>2</v>
      </c>
      <c r="CC64" s="86"/>
      <c r="CD64" s="98" t="n">
        <f aca="false">IF(OR(CA64="",CA65="",AND(CB64="",CB65&lt;&gt;""),AND(CB65="",CB64&lt;&gt;""),AND(CC64="",CC65&lt;&gt;""),AND(CC65="",CC64&lt;&gt;"")),"",CA64*1000+CB64*10+CC64)</f>
        <v>1020</v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 t="n">
        <v>1</v>
      </c>
      <c r="CB65" s="89" t="n">
        <v>0</v>
      </c>
      <c r="CC65" s="90"/>
      <c r="CD65" s="47" t="n">
        <f aca="false">IF(CD64="","",CA65*1000+CB65*10+CC65)</f>
        <v>1000</v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0</v>
      </c>
      <c r="BV68" s="86" t="n">
        <v>4</v>
      </c>
      <c r="BW68" s="98" t="n">
        <f aca="false">IF(OR(BT68="",BT69="",AND(BU68="",BU69&lt;&gt;""),AND(BU69="",BU68&lt;&gt;""),AND(BV68="",BV69&lt;&gt;""),AND(BV69="",BV68&lt;&gt;"")),"",BT68*1000+BU68*10+BV68)</f>
        <v>4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0</v>
      </c>
      <c r="BV69" s="90" t="n">
        <v>3</v>
      </c>
      <c r="BW69" s="47" t="n">
        <f aca="false">IF(BW68="","",BT69*1000+BU69*10+BV69)</f>
        <v>3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43" t="str">
        <f aca="false">IF(OR(S103="",S103="draw"),INDEX(T,99,lang),S103)</f>
        <v>Spain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str">
        <f aca="false">IF(OR(U103="",U103="draw"),INDEX(T,101,lang),U103)</f>
        <v>Belgium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>Spain</v>
      </c>
      <c r="T111" s="43" t="str">
        <f aca="false">S111</f>
        <v>Spain</v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2337</TotalTime>
  <Application>LibreOffice/26.2.4.2$Linux_X86_64 LibreOffice_project/64a984c51f4702dbd3710b13428c673a2f1292e7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2026-07-15T17:23:16Z</dcterms:modified>
  <cp:revision>87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