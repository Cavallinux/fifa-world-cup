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<sst xmlns="http://schemas.openxmlformats.org/spreadsheetml/2006/main" count="9786" uniqueCount="3698">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</sst>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u val="single"/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19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20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0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0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9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2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0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4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5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4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1474200</xdr:colOff>
      <xdr:row>13</xdr:row>
      <xdr:rowOff>172080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1468440</xdr:colOff>
      <xdr:row>50</xdr:row>
      <xdr:rowOff>167040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1478520</xdr:colOff>
      <xdr:row>9</xdr:row>
      <xdr:rowOff>171360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1478160</xdr:colOff>
      <xdr:row>24</xdr:row>
      <xdr:rowOff>171360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1478520</xdr:colOff>
      <xdr:row>18</xdr:row>
      <xdr:rowOff>171360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1478880</xdr:colOff>
      <xdr:row>22</xdr:row>
      <xdr:rowOff>173880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228240</xdr:colOff>
      <xdr:row>36</xdr:row>
      <xdr:rowOff>164160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230760</xdr:colOff>
      <xdr:row>35</xdr:row>
      <xdr:rowOff>173880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228240</xdr:colOff>
      <xdr:row>27</xdr:row>
      <xdr:rowOff>173880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1478160</xdr:colOff>
      <xdr:row>15</xdr:row>
      <xdr:rowOff>164520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228240</xdr:colOff>
      <xdr:row>16</xdr:row>
      <xdr:rowOff>154800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1478160</xdr:colOff>
      <xdr:row>19</xdr:row>
      <xdr:rowOff>164520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1478160</xdr:colOff>
      <xdr:row>21</xdr:row>
      <xdr:rowOff>164520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187200</xdr:colOff>
      <xdr:row>13</xdr:row>
      <xdr:rowOff>164880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5012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1478160</xdr:colOff>
      <xdr:row>42</xdr:row>
      <xdr:rowOff>164880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230400</xdr:colOff>
      <xdr:row>76</xdr:row>
      <xdr:rowOff>164880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1478160</xdr:colOff>
      <xdr:row>12</xdr:row>
      <xdr:rowOff>165240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215280</xdr:colOff>
      <xdr:row>32</xdr:row>
      <xdr:rowOff>169920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1463040</xdr:colOff>
      <xdr:row>27</xdr:row>
      <xdr:rowOff>164520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20628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1473120</xdr:colOff>
      <xdr:row>36</xdr:row>
      <xdr:rowOff>173520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1475280</xdr:colOff>
      <xdr:row>48</xdr:row>
      <xdr:rowOff>173880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225360</xdr:colOff>
      <xdr:row>43</xdr:row>
      <xdr:rowOff>168120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1469880</xdr:colOff>
      <xdr:row>47</xdr:row>
      <xdr:rowOff>169200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1480320</xdr:colOff>
      <xdr:row>11</xdr:row>
      <xdr:rowOff>169200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225360</xdr:colOff>
      <xdr:row>12</xdr:row>
      <xdr:rowOff>159480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1469880</xdr:colOff>
      <xdr:row>73</xdr:row>
      <xdr:rowOff>171720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1475280</xdr:colOff>
      <xdr:row>38</xdr:row>
      <xdr:rowOff>166680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222120</xdr:colOff>
      <xdr:row>41</xdr:row>
      <xdr:rowOff>159840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1469160</xdr:colOff>
      <xdr:row>43</xdr:row>
      <xdr:rowOff>171720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1460160</xdr:colOff>
      <xdr:row>44</xdr:row>
      <xdr:rowOff>171720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1452600</xdr:colOff>
      <xdr:row>31</xdr:row>
      <xdr:rowOff>172080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5012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1470600</xdr:colOff>
      <xdr:row>71</xdr:row>
      <xdr:rowOff>172440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1460160</xdr:colOff>
      <xdr:row>28</xdr:row>
      <xdr:rowOff>172440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1480320</xdr:colOff>
      <xdr:row>34</xdr:row>
      <xdr:rowOff>170280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221760</xdr:colOff>
      <xdr:row>57</xdr:row>
      <xdr:rowOff>168840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231120</xdr:colOff>
      <xdr:row>72</xdr:row>
      <xdr:rowOff>158400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228240</xdr:colOff>
      <xdr:row>64</xdr:row>
      <xdr:rowOff>160560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229320</xdr:colOff>
      <xdr:row>75</xdr:row>
      <xdr:rowOff>166320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230400</xdr:colOff>
      <xdr:row>70</xdr:row>
      <xdr:rowOff>170640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229320</xdr:colOff>
      <xdr:row>66</xdr:row>
      <xdr:rowOff>162720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230760</xdr:colOff>
      <xdr:row>65</xdr:row>
      <xdr:rowOff>172440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1474560</xdr:colOff>
      <xdr:row>55</xdr:row>
      <xdr:rowOff>169920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230760</xdr:colOff>
      <xdr:row>51</xdr:row>
      <xdr:rowOff>170640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226800</xdr:colOff>
      <xdr:row>61</xdr:row>
      <xdr:rowOff>168120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1487520</xdr:colOff>
      <xdr:row>62</xdr:row>
      <xdr:rowOff>160200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226800</xdr:colOff>
      <xdr:row>71</xdr:row>
      <xdr:rowOff>169560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226800</xdr:colOff>
      <xdr:row>69</xdr:row>
      <xdr:rowOff>170640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1462320</xdr:colOff>
      <xdr:row>52</xdr:row>
      <xdr:rowOff>171360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216720</xdr:colOff>
      <xdr:row>15</xdr:row>
      <xdr:rowOff>159840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8828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207360</xdr:colOff>
      <xdr:row>39</xdr:row>
      <xdr:rowOff>159840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8828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1464480</xdr:colOff>
      <xdr:row>60</xdr:row>
      <xdr:rowOff>159840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8828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216720</xdr:colOff>
      <xdr:row>6</xdr:row>
      <xdr:rowOff>159840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8828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207360</xdr:colOff>
      <xdr:row>30</xdr:row>
      <xdr:rowOff>159840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8828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1464480</xdr:colOff>
      <xdr:row>59</xdr:row>
      <xdr:rowOff>159840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8828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1464840</xdr:colOff>
      <xdr:row>7</xdr:row>
      <xdr:rowOff>159480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78920" cy="131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1464480</xdr:colOff>
      <xdr:row>6</xdr:row>
      <xdr:rowOff>150120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88280" cy="131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198000</xdr:colOff>
      <xdr:row>33</xdr:row>
      <xdr:rowOff>150120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78920" cy="131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207360</xdr:colOff>
      <xdr:row>59</xdr:row>
      <xdr:rowOff>150120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78920" cy="131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1464480</xdr:colOff>
      <xdr:row>33</xdr:row>
      <xdr:rowOff>150120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88280" cy="131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216720</xdr:colOff>
      <xdr:row>58</xdr:row>
      <xdr:rowOff>150120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88280" cy="131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226440</xdr:colOff>
      <xdr:row>7</xdr:row>
      <xdr:rowOff>159480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1474200</xdr:colOff>
      <xdr:row>30</xdr:row>
      <xdr:rowOff>169200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1464480</xdr:colOff>
      <xdr:row>58</xdr:row>
      <xdr:rowOff>150120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8828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1474200</xdr:colOff>
      <xdr:row>8</xdr:row>
      <xdr:rowOff>159840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8828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1474200</xdr:colOff>
      <xdr:row>32</xdr:row>
      <xdr:rowOff>159840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8828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216720</xdr:colOff>
      <xdr:row>56</xdr:row>
      <xdr:rowOff>159840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8828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226440</xdr:colOff>
      <xdr:row>8</xdr:row>
      <xdr:rowOff>159840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217080</xdr:colOff>
      <xdr:row>31</xdr:row>
      <xdr:rowOff>159840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1474200</xdr:colOff>
      <xdr:row>57</xdr:row>
      <xdr:rowOff>159840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216720</xdr:colOff>
      <xdr:row>9</xdr:row>
      <xdr:rowOff>159840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8828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207360</xdr:colOff>
      <xdr:row>37</xdr:row>
      <xdr:rowOff>159840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8828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1474200</xdr:colOff>
      <xdr:row>65</xdr:row>
      <xdr:rowOff>159840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8828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1474200</xdr:colOff>
      <xdr:row>10</xdr:row>
      <xdr:rowOff>159480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9800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217080</xdr:colOff>
      <xdr:row>34</xdr:row>
      <xdr:rowOff>169200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9800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226440</xdr:colOff>
      <xdr:row>55</xdr:row>
      <xdr:rowOff>169200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9800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226440</xdr:colOff>
      <xdr:row>10</xdr:row>
      <xdr:rowOff>159840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1474200</xdr:colOff>
      <xdr:row>35</xdr:row>
      <xdr:rowOff>159840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1474200</xdr:colOff>
      <xdr:row>54</xdr:row>
      <xdr:rowOff>159840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216720</xdr:colOff>
      <xdr:row>11</xdr:row>
      <xdr:rowOff>159840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8828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1464480</xdr:colOff>
      <xdr:row>37</xdr:row>
      <xdr:rowOff>159840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8828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1474200</xdr:colOff>
      <xdr:row>64</xdr:row>
      <xdr:rowOff>159840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8828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226440</xdr:colOff>
      <xdr:row>54</xdr:row>
      <xdr:rowOff>169200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1455120</xdr:colOff>
      <xdr:row>56</xdr:row>
      <xdr:rowOff>169200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5012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1474200</xdr:colOff>
      <xdr:row>14</xdr:row>
      <xdr:rowOff>159480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226440</xdr:colOff>
      <xdr:row>38</xdr:row>
      <xdr:rowOff>169200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226440</xdr:colOff>
      <xdr:row>60</xdr:row>
      <xdr:rowOff>169200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217080</xdr:colOff>
      <xdr:row>14</xdr:row>
      <xdr:rowOff>159480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9800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1474200</xdr:colOff>
      <xdr:row>39</xdr:row>
      <xdr:rowOff>169200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9800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1474200</xdr:colOff>
      <xdr:row>61</xdr:row>
      <xdr:rowOff>169200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9800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1474200</xdr:colOff>
      <xdr:row>16</xdr:row>
      <xdr:rowOff>169200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1474200</xdr:colOff>
      <xdr:row>40</xdr:row>
      <xdr:rowOff>169200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226440</xdr:colOff>
      <xdr:row>63</xdr:row>
      <xdr:rowOff>169200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1474200</xdr:colOff>
      <xdr:row>17</xdr:row>
      <xdr:rowOff>169200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226440</xdr:colOff>
      <xdr:row>40</xdr:row>
      <xdr:rowOff>159480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226440</xdr:colOff>
      <xdr:row>62</xdr:row>
      <xdr:rowOff>159480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226440</xdr:colOff>
      <xdr:row>17</xdr:row>
      <xdr:rowOff>169200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1474200</xdr:colOff>
      <xdr:row>41</xdr:row>
      <xdr:rowOff>169200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1474200</xdr:colOff>
      <xdr:row>63</xdr:row>
      <xdr:rowOff>169200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217080</xdr:colOff>
      <xdr:row>18</xdr:row>
      <xdr:rowOff>159840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217080</xdr:colOff>
      <xdr:row>19</xdr:row>
      <xdr:rowOff>159840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217080</xdr:colOff>
      <xdr:row>42</xdr:row>
      <xdr:rowOff>159840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1474200</xdr:colOff>
      <xdr:row>70</xdr:row>
      <xdr:rowOff>159840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1474200</xdr:colOff>
      <xdr:row>20</xdr:row>
      <xdr:rowOff>159840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217080</xdr:colOff>
      <xdr:row>44</xdr:row>
      <xdr:rowOff>159840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217080</xdr:colOff>
      <xdr:row>68</xdr:row>
      <xdr:rowOff>159840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1474200</xdr:colOff>
      <xdr:row>23</xdr:row>
      <xdr:rowOff>159840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217080</xdr:colOff>
      <xdr:row>47</xdr:row>
      <xdr:rowOff>159840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217080</xdr:colOff>
      <xdr:row>67</xdr:row>
      <xdr:rowOff>159840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1464840</xdr:colOff>
      <xdr:row>45</xdr:row>
      <xdr:rowOff>159840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1474200</xdr:colOff>
      <xdr:row>69</xdr:row>
      <xdr:rowOff>159840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217080</xdr:colOff>
      <xdr:row>20</xdr:row>
      <xdr:rowOff>159840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217080</xdr:colOff>
      <xdr:row>21</xdr:row>
      <xdr:rowOff>169200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9800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217080</xdr:colOff>
      <xdr:row>45</xdr:row>
      <xdr:rowOff>169200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9800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1474200</xdr:colOff>
      <xdr:row>68</xdr:row>
      <xdr:rowOff>169200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9800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217080</xdr:colOff>
      <xdr:row>22</xdr:row>
      <xdr:rowOff>159840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217080</xdr:colOff>
      <xdr:row>46</xdr:row>
      <xdr:rowOff>159840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1474200</xdr:colOff>
      <xdr:row>67</xdr:row>
      <xdr:rowOff>159840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9800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1474200</xdr:colOff>
      <xdr:row>66</xdr:row>
      <xdr:rowOff>169200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9800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1474200</xdr:colOff>
      <xdr:row>46</xdr:row>
      <xdr:rowOff>159480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9800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217080</xdr:colOff>
      <xdr:row>23</xdr:row>
      <xdr:rowOff>169200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9800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207360</xdr:colOff>
      <xdr:row>24</xdr:row>
      <xdr:rowOff>150120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88280" cy="131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207360</xdr:colOff>
      <xdr:row>49</xdr:row>
      <xdr:rowOff>150120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88280" cy="131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1464480</xdr:colOff>
      <xdr:row>74</xdr:row>
      <xdr:rowOff>159480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88280" cy="1310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1464480</xdr:colOff>
      <xdr:row>25</xdr:row>
      <xdr:rowOff>159840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8828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207360</xdr:colOff>
      <xdr:row>48</xdr:row>
      <xdr:rowOff>159840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8828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207360</xdr:colOff>
      <xdr:row>74</xdr:row>
      <xdr:rowOff>159840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8828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217080</xdr:colOff>
      <xdr:row>25</xdr:row>
      <xdr:rowOff>159480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9800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1464840</xdr:colOff>
      <xdr:row>75</xdr:row>
      <xdr:rowOff>169200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9800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1464840</xdr:colOff>
      <xdr:row>49</xdr:row>
      <xdr:rowOff>169200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9800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207360</xdr:colOff>
      <xdr:row>26</xdr:row>
      <xdr:rowOff>150120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8828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1464480</xdr:colOff>
      <xdr:row>51</xdr:row>
      <xdr:rowOff>159840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8828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1464480</xdr:colOff>
      <xdr:row>72</xdr:row>
      <xdr:rowOff>159840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8828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1474200</xdr:colOff>
      <xdr:row>26</xdr:row>
      <xdr:rowOff>169200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226440</xdr:colOff>
      <xdr:row>50</xdr:row>
      <xdr:rowOff>169200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226440</xdr:colOff>
      <xdr:row>73</xdr:row>
      <xdr:rowOff>169200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207360</xdr:colOff>
      <xdr:row>28</xdr:row>
      <xdr:rowOff>159840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8828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207360</xdr:colOff>
      <xdr:row>53</xdr:row>
      <xdr:rowOff>159840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8828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1464480</xdr:colOff>
      <xdr:row>77</xdr:row>
      <xdr:rowOff>159840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88280" cy="140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226440</xdr:colOff>
      <xdr:row>29</xdr:row>
      <xdr:rowOff>169200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1464840</xdr:colOff>
      <xdr:row>76</xdr:row>
      <xdr:rowOff>169200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1464840</xdr:colOff>
      <xdr:row>53</xdr:row>
      <xdr:rowOff>169200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20736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1474200</xdr:colOff>
      <xdr:row>29</xdr:row>
      <xdr:rowOff>169200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9800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217080</xdr:colOff>
      <xdr:row>52</xdr:row>
      <xdr:rowOff>169200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98000" cy="150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217080</xdr:colOff>
      <xdr:row>77</xdr:row>
      <xdr:rowOff>169200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98000" cy="1501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A1" colorId="64" zoomScale="124" zoomScaleNormal="124" zoomScalePageLayoutView="100" workbookViewId="0">
      <selection pane="topLeft" activeCell="D16" activeCellId="0" sqref="D16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1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2</v>
      </c>
      <c r="AE8" s="44" t="str">
        <f aca="false">VLOOKUP("Mexico",T,lang,FALSE())</f>
        <v>Mexico</v>
      </c>
      <c r="AF8" s="42" t="n">
        <f aca="false">COUNTIF($S$7:$T$78,"=" &amp; AE8 &amp; "_win")</f>
        <v>1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1</v>
      </c>
      <c r="AJ8" s="42" t="n">
        <f aca="false">SUMIF($E$7:$E$78,$AE8,$G$7:$G$78) + SUMIF($H$7:$H$78,$AE8,$F$7:$F$78)</f>
        <v>0</v>
      </c>
      <c r="AL8" s="42" t="n">
        <f aca="false">AI8-AJ8</f>
        <v>1</v>
      </c>
      <c r="AM8" s="42" t="n">
        <f aca="false">AL8-AL12</f>
        <v>2</v>
      </c>
      <c r="AN8" s="42" t="n">
        <f aca="false">AF8*3+AG8</f>
        <v>3</v>
      </c>
      <c r="AO8" s="42" t="n">
        <f aca="false">AN8/AN12*10+BA8</f>
        <v>7.5</v>
      </c>
      <c r="AP8" s="42" t="n">
        <f aca="false">AO8*10000000+BI8*100+AM8/AM12*10+AI8/AI12*1++IF(AQ8=0,ROW(),AQ8)/2000000</f>
        <v>75000007.0008405</v>
      </c>
      <c r="AQ8" s="46" t="n">
        <f aca="false">VLOOKUP(AE8,db_fifarank,2,FALSE())</f>
        <v>1681.03</v>
      </c>
      <c r="AR8" s="45" t="n">
        <f aca="false">AP8/AP12</f>
        <v>0.99999998222284</v>
      </c>
      <c r="AS8" s="45" t="str">
        <f aca="false">IF(SUM(AF8:AH11)=12,J9,"1A")</f>
        <v>1A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Korea Republic</v>
      </c>
      <c r="K9" s="76" t="n">
        <f aca="false">L9+M9+N9</f>
        <v>1</v>
      </c>
      <c r="L9" s="76" t="n">
        <f aca="false">VLOOKUP(1,AD8:AN11,3,FALSE())</f>
        <v>1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2 - 1</v>
      </c>
      <c r="P9" s="77" t="n">
        <f aca="false">L9*3+M9</f>
        <v>3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1</v>
      </c>
      <c r="V9" s="42" t="n">
        <f aca="false">U9*F9</f>
        <v>1</v>
      </c>
      <c r="W9" s="42" t="n">
        <f aca="false">U9*G9</f>
        <v>1</v>
      </c>
      <c r="X9" s="42" t="n">
        <f aca="false">IF(S9="",0,IF(VLOOKUP(E9,$AE$8:$AO$77,11,FALSE())=VLOOKUP(H9,$AE$8:$AO$77,11,FALSE()),1,0))</f>
        <v>1</v>
      </c>
      <c r="Y9" s="42" t="n">
        <f aca="false">X9*F9</f>
        <v>1</v>
      </c>
      <c r="Z9" s="42" t="n">
        <f aca="false">X9*G9</f>
        <v>1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4</v>
      </c>
      <c r="AE9" s="44" t="str">
        <f aca="false">VLOOKUP("South Africa",T,lang,FALSE())</f>
        <v>South Africa</v>
      </c>
      <c r="AF9" s="42" t="n">
        <f aca="false">COUNTIF($S$7:$T$78,"=" &amp; AE9 &amp; "_win")</f>
        <v>0</v>
      </c>
      <c r="AG9" s="42" t="n">
        <f aca="false">COUNTIF($S$7:$T$78,"=" &amp; AE9 &amp; "_draw")</f>
        <v>0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0</v>
      </c>
      <c r="AJ9" s="42" t="n">
        <f aca="false">SUMIF($E$7:$E$78,$AE9,$G$7:$G$78) + SUMIF($H$7:$H$78,$AE9,$F$7:$F$78)</f>
        <v>1</v>
      </c>
      <c r="AL9" s="42" t="n">
        <f aca="false">AI9-AJ9</f>
        <v>-1</v>
      </c>
      <c r="AM9" s="42" t="n">
        <f aca="false">AL9-AL12</f>
        <v>0</v>
      </c>
      <c r="AN9" s="42" t="n">
        <f aca="false">AF9*3+AG9</f>
        <v>0</v>
      </c>
      <c r="AO9" s="42" t="n">
        <f aca="false">AN9/AN12*10+BA9</f>
        <v>0</v>
      </c>
      <c r="AP9" s="42" t="n">
        <f aca="false">AO9*10000000+BI9*100+AM9/AM12*10+AI9/AI12*1++IF(AQ9=0,ROW(),AQ9)/2000000</f>
        <v>0.000714865</v>
      </c>
      <c r="AQ9" s="46" t="n">
        <f aca="false">VLOOKUP(AE9,db_fifarank,2,FALSE())</f>
        <v>1429.73</v>
      </c>
      <c r="AR9" s="45" t="n">
        <f aca="false">AP9/AP12</f>
        <v>9.53153227417324E-012</v>
      </c>
      <c r="AS9" s="45" t="str">
        <f aca="false">IF(SUM(AF8:AH11)=12,J10,"2A")</f>
        <v>2A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0</v>
      </c>
      <c r="AV9" s="46" t="n">
        <f aca="false" t="array" ref="AV9:AV9">SUMPRODUCT(($E$7:$E$78=AE9)*($U$7:$U$78)*($F$7:$F$78))+SUMPRODUCT(($H$7:$H$78=AE9)*($U$7:$U$78)*($G$7:$G$78))</f>
        <v>0</v>
      </c>
      <c r="AW9" s="46" t="n">
        <f aca="false" t="array" ref="AW9:AW9">SUMPRODUCT(($E$7:$E$78=AE9)*($U$7:$U$78)*($G$7:$G$78))+SUMPRODUCT(($H$7:$H$78=AE9)*($U$7:$U$78)*($F$7:$F$78))</f>
        <v>0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0</v>
      </c>
      <c r="BA9" s="46" t="n">
        <f aca="false">AZ9/AZ12</f>
        <v>0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0</v>
      </c>
      <c r="BD9" s="46" t="n">
        <f aca="false" t="array" ref="BD9:BD9">SUMPRODUCT(($E$7:$E$78=AE9)*($X$7:$X$78)*($F$7:$F$78))+SUMPRODUCT(($H$7:$H$78=AE9)*($X$7:$X$78)*($G$7:$G$78))</f>
        <v>0</v>
      </c>
      <c r="BE9" s="46" t="n">
        <f aca="false" t="array" ref="BE9:BE9">SUMPRODUCT(($E$7:$E$78=AE9)*($X$7:$X$78)*($G$7:$G$78))+SUMPRODUCT(($H$7:$H$78=AE9)*($X$7:$X$78)*($F$7:$F$78))</f>
        <v>0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0</v>
      </c>
      <c r="BI9" s="46" t="n">
        <f aca="false">BH9/BH12</f>
        <v>0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79" t="n">
        <v>4</v>
      </c>
      <c r="G10" s="69" t="n">
        <v>1</v>
      </c>
      <c r="H10" s="70" t="str">
        <f aca="false">AE27</f>
        <v>Paraguay</v>
      </c>
      <c r="J10" s="80" t="str">
        <f aca="false">VLOOKUP(2,AD8:AN11,2,FALSE())</f>
        <v>Mexico</v>
      </c>
      <c r="K10" s="81" t="n">
        <f aca="false">L10+M10+N10</f>
        <v>1</v>
      </c>
      <c r="L10" s="81" t="n">
        <f aca="false">VLOOKUP(2,AD8:AN11,3,FALSE())</f>
        <v>1</v>
      </c>
      <c r="M10" s="81" t="n">
        <f aca="false">VLOOKUP(2,AD8:AN11,4,FALSE())</f>
        <v>0</v>
      </c>
      <c r="N10" s="81" t="n">
        <f aca="false">VLOOKUP(2,AD8:AN11,5,FALSE())</f>
        <v>0</v>
      </c>
      <c r="O10" s="81" t="str">
        <f aca="false">VLOOKUP(2,AD8:AN11,6,FALSE()) &amp; " - " &amp; VLOOKUP(2,AD8:AN11,7,FALSE())</f>
        <v>1 - 0</v>
      </c>
      <c r="P10" s="82" t="n">
        <f aca="false">L10*3+M10</f>
        <v>3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1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0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1</v>
      </c>
      <c r="AL10" s="42" t="n">
        <f aca="false">AI10-AJ10</f>
        <v>1</v>
      </c>
      <c r="AM10" s="42" t="n">
        <f aca="false">AL10-AL12</f>
        <v>2</v>
      </c>
      <c r="AN10" s="42" t="n">
        <f aca="false">AF10*3+AG10</f>
        <v>3</v>
      </c>
      <c r="AO10" s="42" t="n">
        <f aca="false">AN10/AN12*10+BA10</f>
        <v>7.5</v>
      </c>
      <c r="AP10" s="42" t="n">
        <f aca="false">AO10*10000000+BI10*100+AM10/AM12*10+AI10/AI12*1++IF(AQ10=0,ROW(),AQ10)/2000000</f>
        <v>75000007.3341277</v>
      </c>
      <c r="AQ10" s="46" t="n">
        <f aca="false">VLOOKUP(AE10,db_fifarank,2,FALSE())</f>
        <v>1588.66</v>
      </c>
      <c r="AR10" s="45" t="n">
        <f aca="false">AP10/AP12</f>
        <v>0.999999986666668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3" t="n">
        <v>74</v>
      </c>
      <c r="BL10" s="84" t="str">
        <f aca="false">AS32</f>
        <v>1E</v>
      </c>
      <c r="BM10" s="85"/>
      <c r="BN10" s="86"/>
      <c r="BO10" s="87"/>
      <c r="BP10" s="47" t="str">
        <f aca="false">IF(OR(BM10="",BM11="",AND(BN10="",BN11&lt;&gt;""),AND(BN11="",BN10&lt;&gt;""),AND(BO10="",BO11&lt;&gt;""),AND(BO11="",BO10&lt;&gt;"")),"",BM10*1000+BN10*10+BO10)</f>
        <v/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 t="n">
        <v>0</v>
      </c>
      <c r="G11" s="69" t="n">
        <v>1</v>
      </c>
      <c r="H11" s="70" t="str">
        <f aca="false">AE23</f>
        <v>Scotland</v>
      </c>
      <c r="J11" s="80" t="str">
        <f aca="false">VLOOKUP(3,AD8:AN11,2,FALSE())</f>
        <v>Czech Republic</v>
      </c>
      <c r="K11" s="81" t="n">
        <f aca="false">L11+M11+N11</f>
        <v>1</v>
      </c>
      <c r="L11" s="81" t="n">
        <f aca="false">VLOOKUP(3,AD8:AN11,3,FALSE())</f>
        <v>0</v>
      </c>
      <c r="M11" s="81" t="n">
        <f aca="false">VLOOKUP(3,AD8:AN11,4,FALSE())</f>
        <v>0</v>
      </c>
      <c r="N11" s="81" t="n">
        <f aca="false">VLOOKUP(3,AD8:AN11,5,FALSE())</f>
        <v>1</v>
      </c>
      <c r="O11" s="81" t="str">
        <f aca="false">VLOOKUP(3,AD8:AN11,6,FALSE()) &amp; " - " &amp; VLOOKUP(3,AD8:AN11,7,FALSE())</f>
        <v>1 - 2</v>
      </c>
      <c r="P11" s="82" t="n">
        <f aca="false">L11*3+M11</f>
        <v>0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>Haiti_lose</v>
      </c>
      <c r="T11" s="43" t="str">
        <f aca="false">IF(S11="","",IF(F11&lt;G11,H11&amp;"_win",IF(F11&gt;G11,H11&amp;"_lose",H11&amp;"_draw")))</f>
        <v>Scotland_win</v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n">
        <f aca="false">IF(OR(F11="",G11=""),"",IF(F11&gt;G11,1,IF(F11&lt;G11,-1,0)))</f>
        <v>-1</v>
      </c>
      <c r="AD11" s="42" t="n">
        <f aca="false">COUNTIF(AR8:AR11,CONCATENATE("&gt;=",AR11))</f>
        <v>3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0</v>
      </c>
      <c r="AH11" s="42" t="n">
        <f aca="false">COUNTIF($S$7:$T$78,"=" &amp; AE11 &amp; "_lose")</f>
        <v>1</v>
      </c>
      <c r="AI11" s="42" t="n">
        <f aca="false">SUMIF($E$7:$E$78,$AE11,$F$7:$F$78) + SUMIF($H$7:$H$78,$AE11,$G$7:$G$78)</f>
        <v>1</v>
      </c>
      <c r="AJ11" s="42" t="n">
        <f aca="false">SUMIF($E$7:$E$78,$AE11,$G$7:$G$78) + SUMIF($H$7:$H$78,$AE11,$F$7:$F$78)</f>
        <v>2</v>
      </c>
      <c r="AL11" s="42" t="n">
        <f aca="false">AI11-AJ11</f>
        <v>-1</v>
      </c>
      <c r="AM11" s="42" t="n">
        <f aca="false">AL11-AL12</f>
        <v>0</v>
      </c>
      <c r="AN11" s="42" t="n">
        <f aca="false">AF11*3+AG11</f>
        <v>0</v>
      </c>
      <c r="AO11" s="42" t="n">
        <f aca="false">AN11/AN12*10+BA11</f>
        <v>0</v>
      </c>
      <c r="AP11" s="42" t="n">
        <f aca="false">AO11*10000000+BI11*100+AM11/AM12*10+AI11/AI12*1++IF(AQ11=0,ROW(),AQ11)/2000000</f>
        <v>0.334084023333333</v>
      </c>
      <c r="AQ11" s="46" t="n">
        <f aca="false">VLOOKUP(AE11,db_fifarank,2,FALSE())</f>
        <v>1501.38</v>
      </c>
      <c r="AR11" s="45" t="n">
        <f aca="false">AP11/AP12</f>
        <v>4.45445314945803E-009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0</v>
      </c>
      <c r="AV11" s="46" t="n">
        <f aca="false" t="array" ref="AV11:AV11">SUMPRODUCT(($E$7:$E$78=AE11)*($U$7:$U$78)*($F$7:$F$78))+SUMPRODUCT(($H$7:$H$78=AE11)*($U$7:$U$78)*($G$7:$G$78))</f>
        <v>0</v>
      </c>
      <c r="AW11" s="46" t="n">
        <f aca="false" t="array" ref="AW11:AW11">SUMPRODUCT(($E$7:$E$78=AE11)*($U$7:$U$78)*($G$7:$G$78))+SUMPRODUCT(($H$7:$H$78=AE11)*($U$7:$U$78)*($F$7:$F$78))</f>
        <v>0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0</v>
      </c>
      <c r="BA11" s="46" t="n">
        <f aca="false">AZ11/AZ12</f>
        <v>0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0</v>
      </c>
      <c r="BD11" s="46" t="n">
        <f aca="false" t="array" ref="BD11:BD11">SUMPRODUCT(($E$7:$E$78=AE11)*($X$7:$X$78)*($F$7:$F$78))+SUMPRODUCT(($H$7:$H$78=AE11)*($X$7:$X$78)*($G$7:$G$78))</f>
        <v>0</v>
      </c>
      <c r="BE11" s="46" t="n">
        <f aca="false" t="array" ref="BE11:BE11">SUMPRODUCT(($E$7:$E$78=AE11)*($X$7:$X$78)*($G$7:$G$78))+SUMPRODUCT(($H$7:$H$78=AE11)*($X$7:$X$78)*($F$7:$F$78))</f>
        <v>0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0</v>
      </c>
      <c r="BI11" s="46" t="n">
        <f aca="false">BH11/BH12</f>
        <v>0</v>
      </c>
      <c r="BK11" s="83"/>
      <c r="BL11" s="88" t="str">
        <f aca="false">IF(group_round_completed,VLOOKUP('3rd places'!G3,AK80:AS91,9,FALSE()),"3rd Group A/B/C/D/F")</f>
        <v>3rd Group A/B/C/D/F</v>
      </c>
      <c r="BM11" s="89"/>
      <c r="BN11" s="90"/>
      <c r="BO11" s="91"/>
      <c r="BP11" s="92" t="str">
        <f aca="false">IF(BP10="","",BM11*1000+BN11*10+BO11)</f>
        <v/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3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79" t="n">
        <v>2</v>
      </c>
      <c r="G12" s="69" t="n">
        <v>0</v>
      </c>
      <c r="H12" s="70" t="str">
        <f aca="false">AE29</f>
        <v>Turkey</v>
      </c>
      <c r="J12" s="94" t="str">
        <f aca="false">VLOOKUP(4,AD8:AN11,2,FALSE())</f>
        <v>South Africa</v>
      </c>
      <c r="K12" s="95" t="n">
        <f aca="false">L12+M12+N12</f>
        <v>1</v>
      </c>
      <c r="L12" s="95" t="n">
        <f aca="false">VLOOKUP(4,AD8:AN11,3,FALSE())</f>
        <v>0</v>
      </c>
      <c r="M12" s="95" t="n">
        <f aca="false">VLOOKUP(4,AD8:AN11,4,FALSE())</f>
        <v>0</v>
      </c>
      <c r="N12" s="95" t="n">
        <f aca="false">VLOOKUP(4,AD8:AN11,5,FALSE())</f>
        <v>1</v>
      </c>
      <c r="O12" s="95" t="str">
        <f aca="false">VLOOKUP(4,AD8:AN11,6,FALSE()) &amp; " - " &amp; VLOOKUP(4,AD8:AN11,7,FALSE())</f>
        <v>0 - 1</v>
      </c>
      <c r="P12" s="96" t="n">
        <f aca="false">L12*3+M12</f>
        <v>0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>Australia_win</v>
      </c>
      <c r="T12" s="43" t="str">
        <f aca="false">IF(S12="","",IF(F12&lt;G12,H12&amp;"_win",IF(F12&gt;G12,H12&amp;"_lose",H12&amp;"_draw")))</f>
        <v>Turkey_lose</v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n">
        <f aca="false">IF(OR(F12="",G12=""),"",IF(F12&gt;G12,1,IF(F12&lt;G12,-1,0)))</f>
        <v>1</v>
      </c>
      <c r="AF12" s="42" t="n">
        <f aca="false">MAX(AF8:AF11)-MIN(AF8:AF11)+1</f>
        <v>2</v>
      </c>
      <c r="AG12" s="42" t="n">
        <f aca="false">MAX(AG8:AG11)-MIN(AG8:AG11)+1</f>
        <v>1</v>
      </c>
      <c r="AH12" s="42" t="n">
        <f aca="false">MAX(AH8:AH11)-MIN(AH8:AH11)+1</f>
        <v>2</v>
      </c>
      <c r="AI12" s="42" t="n">
        <f aca="false">MAX(AI8:AI11)+1</f>
        <v>3</v>
      </c>
      <c r="AL12" s="42" t="n">
        <f aca="false">MIN(AL8:AL11)</f>
        <v>-1</v>
      </c>
      <c r="AM12" s="42" t="n">
        <f aca="false">MAX(AM8:AM11)+1</f>
        <v>3</v>
      </c>
      <c r="AN12" s="42" t="n">
        <f aca="false">MAX(AN8:AN11)+1</f>
        <v>4</v>
      </c>
      <c r="AO12" s="42" t="n">
        <f aca="false">MAX(AO8:AO11)+1</f>
        <v>8.5</v>
      </c>
      <c r="AP12" s="42" t="n">
        <f aca="false">MAX(AP8:AP11)+1</f>
        <v>75000008.3341277</v>
      </c>
      <c r="AT12" s="46" t="n">
        <f aca="false">MAX(AT8:AT11)-MIN(AT8:AT11)+1</f>
        <v>1</v>
      </c>
      <c r="AU12" s="46" t="n">
        <f aca="false">MAX(AU8:AU11)-MIN(AU8:AU11)+1</f>
        <v>1</v>
      </c>
      <c r="AV12" s="46" t="n">
        <f aca="false">MAX(AV8:AV11)-MIN(AV8:AV11)+1</f>
        <v>1</v>
      </c>
      <c r="AW12" s="46" t="n">
        <f aca="false">MAX(AW8:AW11)-MIN(AW8:AW11)+1</f>
        <v>1</v>
      </c>
      <c r="AY12" s="46" t="n">
        <f aca="false">MAX(AY8:AY11)-MIN(AY8:AY11)+1</f>
        <v>1</v>
      </c>
      <c r="AZ12" s="46" t="n">
        <f aca="false">MAX(AZ8:AZ11)+1</f>
        <v>1</v>
      </c>
      <c r="BB12" s="46" t="n">
        <f aca="false">MAX(BB8:BB11)-MIN(BB8:BB11)+1</f>
        <v>1</v>
      </c>
      <c r="BC12" s="46" t="n">
        <f aca="false">MAX(BC8:BC11)-MIN(BC8:BC11)+1</f>
        <v>1</v>
      </c>
      <c r="BD12" s="46" t="n">
        <f aca="false">MAX(BD8:BD11)-MIN(BD8:BD11)+1</f>
        <v>1</v>
      </c>
      <c r="BE12" s="46" t="n">
        <f aca="false">MAX(BE8:BE11)-MIN(BE8:BE11)+1</f>
        <v>1</v>
      </c>
      <c r="BG12" s="46" t="n">
        <f aca="false">MAX(BG8:BG11)-MIN(BG8:BG11)+1</f>
        <v>1</v>
      </c>
      <c r="BH12" s="46" t="n">
        <f aca="false">MAX(BH8:BH11)+1</f>
        <v>1</v>
      </c>
      <c r="BK12" s="74"/>
      <c r="BL12" s="74"/>
      <c r="BM12" s="74"/>
      <c r="BN12" s="74"/>
      <c r="BO12" s="74"/>
      <c r="BP12" s="97"/>
      <c r="BQ12" s="47"/>
      <c r="BR12" s="83" t="n">
        <v>89</v>
      </c>
      <c r="BS12" s="84" t="str">
        <f aca="false">IF(BP10&gt;BP11,BL10,IF(BP10&lt;BP11,BL11,""))</f>
        <v/>
      </c>
      <c r="BT12" s="85"/>
      <c r="BU12" s="86"/>
      <c r="BV12" s="87"/>
      <c r="BW12" s="47" t="str">
        <f aca="false">IF(OR(BT12="",BT13="",AND(BU12="",BU13&lt;&gt;""),AND(BU13="",BU12&lt;&gt;""),AND(BV12="",BV13&lt;&gt;""),AND(BV13="",BV12&lt;&gt;"")),"",BT12*1000+BU12*10+BV12)</f>
        <v/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79" t="n">
        <v>1</v>
      </c>
      <c r="G13" s="69" t="n">
        <v>1</v>
      </c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>Brazil_draw</v>
      </c>
      <c r="T13" s="43" t="str">
        <f aca="false">IF(S13="","",IF(F13&lt;G13,H13&amp;"_win",IF(F13&gt;G13,H13&amp;"_lose",H13&amp;"_draw")))</f>
        <v>Morocco_draw</v>
      </c>
      <c r="U13" s="42" t="n">
        <f aca="false">IF(S13="",0,IF(VLOOKUP(E13,$AE$8:$AN$77,10,FALSE())=VLOOKUP(H13,$AE$8:$AN$77,10,FALSE()),1,0))</f>
        <v>1</v>
      </c>
      <c r="V13" s="42" t="n">
        <f aca="false">U13*F13</f>
        <v>1</v>
      </c>
      <c r="W13" s="42" t="n">
        <f aca="false">U13*G13</f>
        <v>1</v>
      </c>
      <c r="X13" s="42" t="n">
        <f aca="false">IF(S13="",0,IF(VLOOKUP(E13,$AE$8:$AO$77,11,FALSE())=VLOOKUP(H13,$AE$8:$AO$77,11,FALSE()),1,0))</f>
        <v>1</v>
      </c>
      <c r="Y13" s="42" t="n">
        <f aca="false">X13*F13</f>
        <v>1</v>
      </c>
      <c r="Z13" s="42" t="n">
        <f aca="false">X13*G13</f>
        <v>1</v>
      </c>
      <c r="AA13" s="42" t="n">
        <f aca="false">IF(OR(E13=my_team,H13=my_team),1,IF(INT(MATCH(E13,$AE$8:$AE$78,0)/6)=$AA$6,1,0))</f>
        <v>0</v>
      </c>
      <c r="AB13" s="42" t="n">
        <f aca="false">IF(OR(F13="",G13=""),"",IF(F13&gt;G13,1,IF(F13&lt;G13,-1,0)))</f>
        <v>0</v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3"/>
      <c r="BP13" s="97" t="n">
        <f aca="false">DATE(2026,6,30)+TIME(10,0,0)+gmt_delta</f>
        <v>46203.7083333333</v>
      </c>
      <c r="BQ13" s="98"/>
      <c r="BR13" s="83"/>
      <c r="BS13" s="88" t="str">
        <f aca="false">IF(BP14&gt;BP15,BL14,IF(BP14&lt;BP15,BL15,""))</f>
        <v/>
      </c>
      <c r="BT13" s="89"/>
      <c r="BU13" s="90"/>
      <c r="BV13" s="91"/>
      <c r="BW13" s="92" t="str">
        <f aca="false">IF(BW12="","",BT13*1000+BU13*10+BV13)</f>
        <v/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79" t="n">
        <v>1</v>
      </c>
      <c r="G14" s="99" t="n">
        <v>1</v>
      </c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>Qatar_draw</v>
      </c>
      <c r="T14" s="43" t="str">
        <f aca="false">IF(S14="","",IF(F14&lt;G14,H14&amp;"_win",IF(F14&gt;G14,H14&amp;"_lose",H14&amp;"_draw")))</f>
        <v>Switzerland_draw</v>
      </c>
      <c r="U14" s="42" t="n">
        <f aca="false">IF(S14="",0,IF(VLOOKUP(E14,$AE$8:$AN$77,10,FALSE())=VLOOKUP(H14,$AE$8:$AN$77,10,FALSE()),1,0))</f>
        <v>1</v>
      </c>
      <c r="V14" s="42" t="n">
        <f aca="false">U14*F14</f>
        <v>1</v>
      </c>
      <c r="W14" s="42" t="n">
        <f aca="false">U14*G14</f>
        <v>1</v>
      </c>
      <c r="X14" s="42" t="n">
        <f aca="false">IF(S14="",0,IF(VLOOKUP(E14,$AE$8:$AO$77,11,FALSE())=VLOOKUP(H14,$AE$8:$AO$77,11,FALSE()),1,0))</f>
        <v>1</v>
      </c>
      <c r="Y14" s="42" t="n">
        <f aca="false">X14*F14</f>
        <v>1</v>
      </c>
      <c r="Z14" s="42" t="n">
        <f aca="false">X14*G14</f>
        <v>1</v>
      </c>
      <c r="AA14" s="42" t="n">
        <f aca="false">IF(OR(E14=my_team,H14=my_team),1,IF(INT(MATCH(E14,$AE$8:$AE$78,0)/6)=$AA$6,1,0))</f>
        <v>0</v>
      </c>
      <c r="AB14" s="42" t="n">
        <f aca="false">IF(OR(F14="",G14=""),"",IF(F14&gt;G14,1,IF(F14&lt;G14,-1,0)))</f>
        <v>0</v>
      </c>
      <c r="AD14" s="42" t="n">
        <f aca="false">COUNTIF(AR14:AR17,CONCATENATE("&gt;=",AR14))</f>
        <v>2</v>
      </c>
      <c r="AE14" s="44" t="str">
        <f aca="false">VLOOKUP("Canada",T,lang,FALSE())</f>
        <v>Canada</v>
      </c>
      <c r="AF14" s="42" t="n">
        <f aca="false">COUNTIF($S$7:$T$78,"=" &amp; AE14 &amp; "_win")</f>
        <v>0</v>
      </c>
      <c r="AG14" s="42" t="n">
        <f aca="false">COUNTIF($S$7:$T$78,"=" &amp; AE14 &amp; "_draw")</f>
        <v>1</v>
      </c>
      <c r="AH14" s="42" t="n">
        <f aca="false">COUNTIF($S$7:$T$78,"=" &amp; AE14 &amp; "_lose")</f>
        <v>0</v>
      </c>
      <c r="AI14" s="42" t="n">
        <f aca="false">SUMIF($E$7:$E$78,$AE14,$F$7:$F$78) + SUMIF($H$7:$H$78,$AE14,$G$7:$G$78)</f>
        <v>1</v>
      </c>
      <c r="AJ14" s="42" t="n">
        <f aca="false">SUMIF($E$7:$E$78,$AE14,$G$7:$G$78) + SUMIF($H$7:$H$78,$AE14,$F$7:$F$78)</f>
        <v>1</v>
      </c>
      <c r="AL14" s="42" t="n">
        <f aca="false">AI14-AJ14</f>
        <v>0</v>
      </c>
      <c r="AM14" s="42" t="n">
        <f aca="false">AL14-AL18</f>
        <v>0</v>
      </c>
      <c r="AN14" s="42" t="n">
        <f aca="false">AF14*3+AG14</f>
        <v>1</v>
      </c>
      <c r="AO14" s="42" t="n">
        <f aca="false">AN14/AN18*10+BA14</f>
        <v>5.99019607843137</v>
      </c>
      <c r="AP14" s="42" t="n">
        <f aca="false">AO14*10000000+BI14*100+AM14/AM18*10+AI14/AI18*1++IF(AQ14=0,ROW(),AQ14)/2000000</f>
        <v>59902060.3046998</v>
      </c>
      <c r="AQ14" s="46" t="n">
        <f aca="false">VLOOKUP(AE14,db_fifarank,2,FALSE())</f>
        <v>1556.48</v>
      </c>
      <c r="AR14" s="45" t="n">
        <f aca="false">AP14/AP18</f>
        <v>0.999999983305308</v>
      </c>
      <c r="AS14" s="45" t="str">
        <f aca="false">IF(SUM(AF14:AH17)=12,J15,"1B")</f>
        <v>1B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1</v>
      </c>
      <c r="AV14" s="46" t="n">
        <f aca="false" t="array" ref="AV14:AV14">SUMPRODUCT(($E$7:$E$78=AE14)*($U$7:$U$78)*($F$7:$F$78))+SUMPRODUCT(($H$7:$H$78=AE14)*($U$7:$U$78)*($G$7:$G$78))</f>
        <v>1</v>
      </c>
      <c r="AW14" s="46" t="n">
        <f aca="false" t="array" ref="AW14:AW14">SUMPRODUCT(($E$7:$E$78=AE14)*($U$7:$U$78)*($G$7:$G$78))+SUMPRODUCT(($H$7:$H$78=AE14)*($U$7:$U$78)*($F$7:$F$78))</f>
        <v>1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101</v>
      </c>
      <c r="BA14" s="46" t="n">
        <f aca="false">AZ14/AZ18</f>
        <v>0.990196078431373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1</v>
      </c>
      <c r="BD14" s="46" t="n">
        <f aca="false" t="array" ref="BD14:BD14">SUMPRODUCT(($E$7:$E$78=AE14)*($X$7:$X$78)*($F$7:$F$78))+SUMPRODUCT(($H$7:$H$78=AE14)*($X$7:$X$78)*($G$7:$G$78))</f>
        <v>1</v>
      </c>
      <c r="BE14" s="46" t="n">
        <f aca="false" t="array" ref="BE14:BE14">SUMPRODUCT(($E$7:$E$78=AE14)*($X$7:$X$78)*($G$7:$G$78))+SUMPRODUCT(($H$7:$H$78=AE14)*($X$7:$X$78)*($F$7:$F$78))</f>
        <v>1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101</v>
      </c>
      <c r="BI14" s="46" t="n">
        <f aca="false">BH14/BH18</f>
        <v>0.990196078431373</v>
      </c>
      <c r="BK14" s="83" t="n">
        <v>77</v>
      </c>
      <c r="BL14" s="84" t="str">
        <f aca="false">AS56</f>
        <v>1I</v>
      </c>
      <c r="BM14" s="85"/>
      <c r="BN14" s="86"/>
      <c r="BO14" s="87"/>
      <c r="BP14" s="100" t="str">
        <f aca="false">IF(OR(BM14="",BM15="",AND(BN14="",BN15&lt;&gt;""),AND(BN15="",BN14&lt;&gt;""),AND(BO14="",BO15&lt;&gt;""),AND(BO15="",BO14&lt;&gt;"")),"",BM14*1000+BN14*10+BO14)</f>
        <v/>
      </c>
      <c r="BQ14" s="47"/>
      <c r="BR14" s="74"/>
      <c r="BS14" s="74"/>
      <c r="BT14" s="74"/>
      <c r="BU14" s="74"/>
      <c r="BV14" s="74"/>
      <c r="BW14" s="97"/>
      <c r="BX14" s="47"/>
      <c r="BY14" s="74"/>
      <c r="BZ14" s="74"/>
      <c r="CA14" s="74"/>
      <c r="CB14" s="74"/>
      <c r="CC14" s="93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79"/>
      <c r="G15" s="69"/>
      <c r="H15" s="70" t="str">
        <f aca="false">AE35</f>
        <v>Ecuador</v>
      </c>
      <c r="J15" s="75" t="str">
        <f aca="false">VLOOKUP(1,AD14:AN17,2,FALSE())</f>
        <v>Switzerland</v>
      </c>
      <c r="K15" s="76" t="n">
        <f aca="false">L15+M15+N15</f>
        <v>1</v>
      </c>
      <c r="L15" s="76" t="n">
        <f aca="false">VLOOKUP(1,AD14:AN17,3,FALSE())</f>
        <v>0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1 - 1</v>
      </c>
      <c r="P15" s="77" t="n">
        <f aca="false">L15*3+M15</f>
        <v>1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/>
      </c>
      <c r="T15" s="43" t="str">
        <f aca="false">IF(S15="","",IF(F15&lt;G15,H15&amp;"_win",IF(F15&gt;G15,H15&amp;"_lose",H15&amp;"_draw")))</f>
        <v/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str">
        <f aca="false">IF(OR(F15="",G15=""),"",IF(F15&gt;G15,1,IF(F15&lt;G15,-1,0)))</f>
        <v/>
      </c>
      <c r="AD15" s="42" t="n">
        <f aca="false">COUNTIF(AR14:AR17,CONCATENATE("&gt;=",AR15))</f>
        <v>4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0</v>
      </c>
      <c r="AG15" s="42" t="n">
        <f aca="false">COUNTIF($S$7:$T$78,"=" &amp; AE15 &amp; "_draw")</f>
        <v>1</v>
      </c>
      <c r="AH15" s="42" t="n">
        <f aca="false">COUNTIF($S$7:$T$78,"=" &amp; AE15 &amp; "_lose")</f>
        <v>0</v>
      </c>
      <c r="AI15" s="42" t="n">
        <f aca="false">SUMIF($E$7:$E$78,$AE15,$F$7:$F$78) + SUMIF($H$7:$H$78,$AE15,$G$7:$G$78)</f>
        <v>1</v>
      </c>
      <c r="AJ15" s="42" t="n">
        <f aca="false">SUMIF($E$7:$E$78,$AE15,$G$7:$G$78) + SUMIF($H$7:$H$78,$AE15,$F$7:$F$78)</f>
        <v>1</v>
      </c>
      <c r="AL15" s="42" t="n">
        <f aca="false">AI15-AJ15</f>
        <v>0</v>
      </c>
      <c r="AM15" s="42" t="n">
        <f aca="false">AL15-AL18</f>
        <v>0</v>
      </c>
      <c r="AN15" s="42" t="n">
        <f aca="false">AF15*3+AG15</f>
        <v>1</v>
      </c>
      <c r="AO15" s="42" t="n">
        <f aca="false">AN15/AN18*10+BA15</f>
        <v>5.99019607843137</v>
      </c>
      <c r="AP15" s="42" t="n">
        <f aca="false">AO15*10000000+BI15*100+AM15/AM18*10+AI15/AI18*1++IF(AQ15=0,ROW(),AQ15)/2000000</f>
        <v>59902060.3046145</v>
      </c>
      <c r="AQ15" s="46" t="n">
        <f aca="false">VLOOKUP(AE15,db_fifarank,2,FALSE())</f>
        <v>1385.84</v>
      </c>
      <c r="AR15" s="45" t="n">
        <f aca="false">AP15/AP18</f>
        <v>0.999999983303884</v>
      </c>
      <c r="AS15" s="45" t="str">
        <f aca="false">IF(SUM(AF14:AH17)=12,J16,"2B")</f>
        <v>2B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1</v>
      </c>
      <c r="AV15" s="46" t="n">
        <f aca="false" t="array" ref="AV15:AV15">SUMPRODUCT(($E$7:$E$78=AE15)*($U$7:$U$78)*($F$7:$F$78))+SUMPRODUCT(($H$7:$H$78=AE15)*($U$7:$U$78)*($G$7:$G$78))</f>
        <v>1</v>
      </c>
      <c r="AW15" s="46" t="n">
        <f aca="false" t="array" ref="AW15:AW15">SUMPRODUCT(($E$7:$E$78=AE15)*($U$7:$U$78)*($G$7:$G$78))+SUMPRODUCT(($H$7:$H$78=AE15)*($U$7:$U$78)*($F$7:$F$78))</f>
        <v>1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101</v>
      </c>
      <c r="BA15" s="46" t="n">
        <f aca="false">AZ15/AZ18</f>
        <v>0.990196078431373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1</v>
      </c>
      <c r="BD15" s="46" t="n">
        <f aca="false" t="array" ref="BD15:BD15">SUMPRODUCT(($E$7:$E$78=AE15)*($X$7:$X$78)*($F$7:$F$78))+SUMPRODUCT(($H$7:$H$78=AE15)*($X$7:$X$78)*($G$7:$G$78))</f>
        <v>1</v>
      </c>
      <c r="BE15" s="46" t="n">
        <f aca="false" t="array" ref="BE15:BE15">SUMPRODUCT(($E$7:$E$78=AE15)*($X$7:$X$78)*($G$7:$G$78))+SUMPRODUCT(($H$7:$H$78=AE15)*($X$7:$X$78)*($F$7:$F$78))</f>
        <v>1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101</v>
      </c>
      <c r="BI15" s="46" t="n">
        <f aca="false">BH15/BH18</f>
        <v>0.990196078431373</v>
      </c>
      <c r="BK15" s="83"/>
      <c r="BL15" s="88" t="str">
        <f aca="false">IF(group_round_completed,VLOOKUP('3rd places'!I3,AK80:AS91,9,FALSE()),"3rd Group C/D/F/G/H")</f>
        <v>3rd Group C/D/F/G/H</v>
      </c>
      <c r="BM15" s="89"/>
      <c r="BN15" s="90"/>
      <c r="BO15" s="91"/>
      <c r="BP15" s="47" t="str">
        <f aca="false">IF(BP14="","",BM15*1000+BN15*10+BO15)</f>
        <v/>
      </c>
      <c r="BQ15" s="47"/>
      <c r="BR15" s="74"/>
      <c r="BS15" s="74"/>
      <c r="BT15" s="74"/>
      <c r="BU15" s="74"/>
      <c r="BV15" s="74"/>
      <c r="BW15" s="97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3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79"/>
      <c r="G16" s="69"/>
      <c r="H16" s="70" t="str">
        <f aca="false">AE33</f>
        <v>Curaçao</v>
      </c>
      <c r="J16" s="80" t="str">
        <f aca="false">VLOOKUP(2,AD14:AN17,2,FALSE())</f>
        <v>Canada</v>
      </c>
      <c r="K16" s="81" t="n">
        <f aca="false">L16+M16+N16</f>
        <v>1</v>
      </c>
      <c r="L16" s="81" t="n">
        <f aca="false">VLOOKUP(2,AD14:AN17,3,FALSE())</f>
        <v>0</v>
      </c>
      <c r="M16" s="81" t="n">
        <f aca="false">VLOOKUP(2,AD14:AN17,4,FALSE())</f>
        <v>1</v>
      </c>
      <c r="N16" s="81" t="n">
        <f aca="false">VLOOKUP(2,AD14:AN17,5,FALSE())</f>
        <v>0</v>
      </c>
      <c r="O16" s="81" t="str">
        <f aca="false">VLOOKUP(2,AD14:AN17,6,FALSE()) &amp; " - " &amp; VLOOKUP(2,AD14:AN17,7,FALSE())</f>
        <v>1 - 1</v>
      </c>
      <c r="P16" s="82" t="n">
        <f aca="false">L16*3+M16</f>
        <v>1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/>
      </c>
      <c r="T16" s="43" t="str">
        <f aca="false">IF(S16="","",IF(F16&lt;G16,H16&amp;"_win",IF(F16&gt;G16,H16&amp;"_lose",H16&amp;"_draw")))</f>
        <v/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str">
        <f aca="false">IF(OR(F16="",G16=""),"",IF(F16&gt;G16,1,IF(F16&lt;G16,-1,0)))</f>
        <v/>
      </c>
      <c r="AD16" s="42" t="n">
        <f aca="false">COUNTIF(AR14:AR17,CONCATENATE("&gt;=",AR16))</f>
        <v>3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1</v>
      </c>
      <c r="AH16" s="42" t="n">
        <f aca="false">COUNTIF($S$7:$T$78,"=" &amp; AE16 &amp; "_lose")</f>
        <v>0</v>
      </c>
      <c r="AI16" s="42" t="n">
        <f aca="false">SUMIF($E$7:$E$78,$AE16,$F$7:$F$78) + SUMIF($H$7:$H$78,$AE16,$G$7:$G$78)</f>
        <v>1</v>
      </c>
      <c r="AJ16" s="42" t="n">
        <f aca="false">SUMIF($E$7:$E$78,$AE16,$G$7:$G$78) + SUMIF($H$7:$H$78,$AE16,$F$7:$F$78)</f>
        <v>1</v>
      </c>
      <c r="AL16" s="42" t="n">
        <f aca="false">AI16-AJ16</f>
        <v>0</v>
      </c>
      <c r="AM16" s="42" t="n">
        <f aca="false">AL16-AL18</f>
        <v>0</v>
      </c>
      <c r="AN16" s="42" t="n">
        <f aca="false">AF16*3+AG16</f>
        <v>1</v>
      </c>
      <c r="AO16" s="42" t="n">
        <f aca="false">AN16/AN18*10+BA16</f>
        <v>5.99019607843137</v>
      </c>
      <c r="AP16" s="42" t="n">
        <f aca="false">AO16*10000000+BI16*100+AM16/AM18*10+AI16/AI18*1++IF(AQ16=0,ROW(),AQ16)/2000000</f>
        <v>59902060.3046491</v>
      </c>
      <c r="AQ16" s="46" t="n">
        <f aca="false">VLOOKUP(AE16,db_fifarank,2,FALSE())</f>
        <v>1454.96</v>
      </c>
      <c r="AR16" s="45" t="n">
        <f aca="false">AP16/AP18</f>
        <v>0.999999983304461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1</v>
      </c>
      <c r="AV16" s="46" t="n">
        <f aca="false" t="array" ref="AV16:AV16">SUMPRODUCT(($E$7:$E$78=AE16)*($U$7:$U$78)*($F$7:$F$78))+SUMPRODUCT(($H$7:$H$78=AE16)*($U$7:$U$78)*($G$7:$G$78))</f>
        <v>1</v>
      </c>
      <c r="AW16" s="46" t="n">
        <f aca="false" t="array" ref="AW16:AW16">SUMPRODUCT(($E$7:$E$78=AE16)*($U$7:$U$78)*($G$7:$G$78))+SUMPRODUCT(($H$7:$H$78=AE16)*($U$7:$U$78)*($F$7:$F$78))</f>
        <v>1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101</v>
      </c>
      <c r="BA16" s="46" t="n">
        <f aca="false">AZ16/AZ18</f>
        <v>0.990196078431373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1</v>
      </c>
      <c r="BD16" s="46" t="n">
        <f aca="false" t="array" ref="BD16:BD16">SUMPRODUCT(($E$7:$E$78=AE16)*($X$7:$X$78)*($F$7:$F$78))+SUMPRODUCT(($H$7:$H$78=AE16)*($X$7:$X$78)*($G$7:$G$78))</f>
        <v>1</v>
      </c>
      <c r="BE16" s="46" t="n">
        <f aca="false" t="array" ref="BE16:BE16">SUMPRODUCT(($E$7:$E$78=AE16)*($X$7:$X$78)*($G$7:$G$78))+SUMPRODUCT(($H$7:$H$78=AE16)*($X$7:$X$78)*($F$7:$F$78))</f>
        <v>1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101</v>
      </c>
      <c r="BI16" s="46" t="n">
        <f aca="false">BH16/BH18</f>
        <v>0.990196078431373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7"/>
      <c r="BX16" s="47"/>
      <c r="BY16" s="83" t="n">
        <v>97</v>
      </c>
      <c r="BZ16" s="84" t="str">
        <f aca="false">IF(BW12&gt;BW13,BS12,IF(BW12&lt;BW13,BS13,""))</f>
        <v/>
      </c>
      <c r="CA16" s="85"/>
      <c r="CB16" s="86"/>
      <c r="CC16" s="87"/>
      <c r="CD16" s="47" t="str">
        <f aca="false">IF(OR(CA16="",CA17="",AND(CB16="",CB17&lt;&gt;""),AND(CB17="",CB16&lt;&gt;""),AND(CC16="",CC17&lt;&gt;""),AND(CC17="",CC16&lt;&gt;"")),"",CA16*1000+CB16*10+CC16)</f>
        <v/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79"/>
      <c r="G17" s="69"/>
      <c r="H17" s="70" t="str">
        <f aca="false">AE39</f>
        <v>Japan</v>
      </c>
      <c r="J17" s="80" t="str">
        <f aca="false">VLOOKUP(3,AD14:AN17,2,FALSE())</f>
        <v>Qatar</v>
      </c>
      <c r="K17" s="81" t="n">
        <f aca="false">L17+M17+N17</f>
        <v>1</v>
      </c>
      <c r="L17" s="81" t="n">
        <f aca="false">VLOOKUP(3,AD14:AN17,3,FALSE())</f>
        <v>0</v>
      </c>
      <c r="M17" s="81" t="n">
        <f aca="false">VLOOKUP(3,AD14:AN17,4,FALSE())</f>
        <v>1</v>
      </c>
      <c r="N17" s="81" t="n">
        <f aca="false">VLOOKUP(3,AD14:AN17,5,FALSE())</f>
        <v>0</v>
      </c>
      <c r="O17" s="81" t="str">
        <f aca="false">VLOOKUP(3,AD14:AN17,6,FALSE()) &amp; " - " &amp; VLOOKUP(3,AD14:AN17,7,FALSE())</f>
        <v>1 - 1</v>
      </c>
      <c r="P17" s="82" t="n">
        <f aca="false">L17*3+M17</f>
        <v>1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/>
      </c>
      <c r="T17" s="43" t="str">
        <f aca="false">IF(S17="","",IF(F17&lt;G17,H17&amp;"_win",IF(F17&gt;G17,H17&amp;"_lose",H17&amp;"_draw")))</f>
        <v/>
      </c>
      <c r="U17" s="42" t="n">
        <f aca="false">IF(S17="",0,IF(VLOOKUP(E17,$AE$8:$AN$77,10,FALSE())=VLOOKUP(H17,$AE$8:$AN$77,10,FALSE()),1,0))</f>
        <v>0</v>
      </c>
      <c r="V17" s="42" t="n">
        <f aca="false">U17*F17</f>
        <v>0</v>
      </c>
      <c r="W17" s="42" t="n">
        <f aca="false">U17*G17</f>
        <v>0</v>
      </c>
      <c r="X17" s="42" t="n">
        <f aca="false">IF(S17="",0,IF(VLOOKUP(E17,$AE$8:$AO$77,11,FALSE())=VLOOKUP(H17,$AE$8:$AO$77,11,FALSE()),1,0))</f>
        <v>0</v>
      </c>
      <c r="Y17" s="42" t="n">
        <f aca="false">X17*F17</f>
        <v>0</v>
      </c>
      <c r="Z17" s="42" t="n">
        <f aca="false">X17*G17</f>
        <v>0</v>
      </c>
      <c r="AA17" s="42" t="n">
        <f aca="false">IF(OR(E17=my_team,H17=my_team),1,IF(INT(MATCH(E17,$AE$8:$AE$78,0)/6)=$AA$6,1,0))</f>
        <v>0</v>
      </c>
      <c r="AB17" s="42" t="str">
        <f aca="false">IF(OR(F17="",G17=""),"",IF(F17&gt;G17,1,IF(F17&lt;G17,-1,0)))</f>
        <v/>
      </c>
      <c r="AD17" s="42" t="n">
        <f aca="false">COUNTIF(AR14:AR17,CONCATENATE("&gt;=",AR17))</f>
        <v>1</v>
      </c>
      <c r="AE17" s="44" t="str">
        <f aca="false">VLOOKUP("Switzerland",T,lang,FALSE())</f>
        <v>Switzerland</v>
      </c>
      <c r="AF17" s="42" t="n">
        <f aca="false">COUNTIF($S$7:$T$78,"=" &amp; AE17 &amp; "_win")</f>
        <v>0</v>
      </c>
      <c r="AG17" s="42" t="n">
        <f aca="false">COUNTIF($S$7:$T$78,"=" &amp; AE17 &amp; "_draw")</f>
        <v>1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1</v>
      </c>
      <c r="AJ17" s="42" t="n">
        <f aca="false">SUMIF($E$7:$E$78,$AE17,$G$7:$G$78) + SUMIF($H$7:$H$78,$AE17,$F$7:$F$78)</f>
        <v>1</v>
      </c>
      <c r="AL17" s="42" t="n">
        <f aca="false">AI17-AJ17</f>
        <v>0</v>
      </c>
      <c r="AM17" s="42" t="n">
        <f aca="false">AL17-AL18</f>
        <v>0</v>
      </c>
      <c r="AN17" s="42" t="n">
        <f aca="false">AF17*3+AG17</f>
        <v>1</v>
      </c>
      <c r="AO17" s="42" t="n">
        <f aca="false">AN17/AN18*10+BA17</f>
        <v>5.99019607843137</v>
      </c>
      <c r="AP17" s="42" t="n">
        <f aca="false">AO17*10000000+BI17*100+AM17/AM18*10+AI17/AI18*1++IF(AQ17=0,ROW(),AQ17)/2000000</f>
        <v>59902060.3047463</v>
      </c>
      <c r="AQ17" s="46" t="n">
        <f aca="false">VLOOKUP(AE17,db_fifarank,2,FALSE())</f>
        <v>1649.4</v>
      </c>
      <c r="AR17" s="45" t="n">
        <f aca="false">AP17/AP18</f>
        <v>0.999999983306084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1</v>
      </c>
      <c r="AV17" s="46" t="n">
        <f aca="false" t="array" ref="AV17:AV17">SUMPRODUCT(($E$7:$E$78=AE17)*($U$7:$U$78)*($F$7:$F$78))+SUMPRODUCT(($H$7:$H$78=AE17)*($U$7:$U$78)*($G$7:$G$78))</f>
        <v>1</v>
      </c>
      <c r="AW17" s="46" t="n">
        <f aca="false" t="array" ref="AW17:AW17">SUMPRODUCT(($E$7:$E$78=AE17)*($U$7:$U$78)*($G$7:$G$78))+SUMPRODUCT(($H$7:$H$78=AE17)*($U$7:$U$78)*($F$7:$F$78))</f>
        <v>1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101</v>
      </c>
      <c r="BA17" s="46" t="n">
        <f aca="false">AZ17/AZ18</f>
        <v>0.990196078431373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1</v>
      </c>
      <c r="BD17" s="46" t="n">
        <f aca="false" t="array" ref="BD17:BD17">SUMPRODUCT(($E$7:$E$78=AE17)*($X$7:$X$78)*($F$7:$F$78))+SUMPRODUCT(($H$7:$H$78=AE17)*($X$7:$X$78)*($G$7:$G$78))</f>
        <v>1</v>
      </c>
      <c r="BE17" s="46" t="n">
        <f aca="false" t="array" ref="BE17:BE17">SUMPRODUCT(($E$7:$E$78=AE17)*($X$7:$X$78)*($G$7:$G$78))+SUMPRODUCT(($H$7:$H$78=AE17)*($X$7:$X$78)*($F$7:$F$78))</f>
        <v>1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101</v>
      </c>
      <c r="BI17" s="46" t="n">
        <f aca="false">BH17/BH18</f>
        <v>0.990196078431373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3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7"/>
      <c r="BX17" s="98"/>
      <c r="BY17" s="83"/>
      <c r="BZ17" s="88" t="str">
        <f aca="false">IF(BW20&gt;BW21,BS20,IF(BW20&lt;BW21,BS21,""))</f>
        <v/>
      </c>
      <c r="CA17" s="89"/>
      <c r="CB17" s="90"/>
      <c r="CC17" s="91"/>
      <c r="CD17" s="92" t="str">
        <f aca="false">IF(CD16="","",CA17*1000+CB17*10+CC17)</f>
        <v/>
      </c>
      <c r="CE17" s="101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79"/>
      <c r="G18" s="69"/>
      <c r="H18" s="70" t="str">
        <f aca="false">AE41</f>
        <v>Tunisia</v>
      </c>
      <c r="J18" s="94" t="str">
        <f aca="false">VLOOKUP(4,AD14:AN17,2,FALSE())</f>
        <v>Bosnia and Herzegovina</v>
      </c>
      <c r="K18" s="95" t="n">
        <f aca="false">L18+M18+N18</f>
        <v>1</v>
      </c>
      <c r="L18" s="95" t="n">
        <f aca="false">VLOOKUP(4,AD14:AN17,3,FALSE())</f>
        <v>0</v>
      </c>
      <c r="M18" s="95" t="n">
        <f aca="false">VLOOKUP(4,AD14:AN17,4,FALSE())</f>
        <v>1</v>
      </c>
      <c r="N18" s="95" t="n">
        <f aca="false">VLOOKUP(4,AD14:AN17,5,FALSE())</f>
        <v>0</v>
      </c>
      <c r="O18" s="95" t="str">
        <f aca="false">VLOOKUP(4,AD14:AN17,6,FALSE()) &amp; " - " &amp; VLOOKUP(4,AD14:AN17,7,FALSE())</f>
        <v>1 - 1</v>
      </c>
      <c r="P18" s="96" t="n">
        <f aca="false">L18*3+M18</f>
        <v>1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/>
      </c>
      <c r="T18" s="43" t="str">
        <f aca="false">IF(S18="","",IF(F18&lt;G18,H18&amp;"_win",IF(F18&gt;G18,H18&amp;"_lose",H18&amp;"_draw")))</f>
        <v/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str">
        <f aca="false">IF(OR(F18="",G18=""),"",IF(F18&gt;G18,1,IF(F18&lt;G18,-1,0)))</f>
        <v/>
      </c>
      <c r="AF18" s="42" t="n">
        <f aca="false">MAX(AF14:AF17)-MIN(AF14:AF17)+1</f>
        <v>1</v>
      </c>
      <c r="AG18" s="42" t="n">
        <f aca="false">MAX(AG14:AG17)-MIN(AG14:AG17)+1</f>
        <v>1</v>
      </c>
      <c r="AH18" s="42" t="n">
        <f aca="false">MAX(AH14:AH17)-MIN(AH14:AH17)+1</f>
        <v>1</v>
      </c>
      <c r="AI18" s="42" t="n">
        <f aca="false">MAX(AI14:AI17)+1</f>
        <v>2</v>
      </c>
      <c r="AL18" s="42" t="n">
        <f aca="false">MIN(AL14:AL17)</f>
        <v>0</v>
      </c>
      <c r="AM18" s="42" t="n">
        <f aca="false">MAX(AM14:AM17)+1</f>
        <v>1</v>
      </c>
      <c r="AN18" s="42" t="n">
        <f aca="false">MAX(AN14:AN17)+1</f>
        <v>2</v>
      </c>
      <c r="AO18" s="42" t="n">
        <f aca="false">MAX(AO14:AO17)+1</f>
        <v>6.99019607843137</v>
      </c>
      <c r="AP18" s="42" t="n">
        <f aca="false">MAX(AP14:AP17)+1</f>
        <v>59902061.3047463</v>
      </c>
      <c r="AT18" s="46" t="n">
        <f aca="false">MAX(AT14:AT17)-MIN(AT14:AT17)+1</f>
        <v>1</v>
      </c>
      <c r="AU18" s="46" t="n">
        <f aca="false">MAX(AU14:AU17)-MIN(AU14:AU17)+1</f>
        <v>1</v>
      </c>
      <c r="AV18" s="46" t="n">
        <f aca="false">MAX(AV14:AV17)-MIN(AV14:AV17)+1</f>
        <v>1</v>
      </c>
      <c r="AW18" s="46" t="n">
        <f aca="false">MAX(AW14:AW17)-MIN(AW14:AW17)+1</f>
        <v>1</v>
      </c>
      <c r="AY18" s="46" t="n">
        <f aca="false">MAX(AY14:AY17)-MIN(AY14:AY17)+1</f>
        <v>1</v>
      </c>
      <c r="AZ18" s="46" t="n">
        <f aca="false">MAX(AZ14:AZ17)+1</f>
        <v>102</v>
      </c>
      <c r="BB18" s="46" t="n">
        <f aca="false">MAX(BB14:BB17)-MIN(BB14:BB17)+1</f>
        <v>1</v>
      </c>
      <c r="BC18" s="46" t="n">
        <f aca="false">MAX(BC14:BC17)-MIN(BC14:BC17)+1</f>
        <v>1</v>
      </c>
      <c r="BD18" s="46" t="n">
        <f aca="false">MAX(BD14:BD17)-MIN(BD14:BD17)+1</f>
        <v>1</v>
      </c>
      <c r="BE18" s="46" t="n">
        <f aca="false">MAX(BE14:BE17)-MIN(BE14:BE17)+1</f>
        <v>1</v>
      </c>
      <c r="BG18" s="46" t="n">
        <f aca="false">MAX(BG14:BG17)-MIN(BG14:BG17)+1</f>
        <v>1</v>
      </c>
      <c r="BH18" s="46" t="n">
        <f aca="false">MAX(BH14:BH17)+1</f>
        <v>102</v>
      </c>
      <c r="BK18" s="83" t="n">
        <v>73</v>
      </c>
      <c r="BL18" s="84" t="str">
        <f aca="false">AS9</f>
        <v>2A</v>
      </c>
      <c r="BM18" s="85"/>
      <c r="BN18" s="86"/>
      <c r="BO18" s="87"/>
      <c r="BP18" s="47" t="str">
        <f aca="false">IF(OR(BM18="",BM19="",AND(BN18="",BN19&lt;&gt;""),AND(BN19="",BN18&lt;&gt;""),AND(BO18="",BO19&lt;&gt;""),AND(BO19="",BO18&lt;&gt;"")),"",BM18*1000+BN18*10+BO18)</f>
        <v/>
      </c>
      <c r="BQ18" s="47"/>
      <c r="BR18" s="74"/>
      <c r="BS18" s="74"/>
      <c r="BT18" s="74"/>
      <c r="BU18" s="74"/>
      <c r="BV18" s="74"/>
      <c r="BW18" s="97"/>
      <c r="BX18" s="47"/>
      <c r="BY18" s="74"/>
      <c r="BZ18" s="74"/>
      <c r="CA18" s="74"/>
      <c r="CB18" s="74"/>
      <c r="CC18" s="74"/>
      <c r="CD18" s="97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79"/>
      <c r="G19" s="69"/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/>
      </c>
      <c r="T19" s="43" t="str">
        <f aca="false">IF(S19="","",IF(F19&lt;G19,H19&amp;"_win",IF(F19&gt;G19,H19&amp;"_lose",H19&amp;"_draw")))</f>
        <v/>
      </c>
      <c r="U19" s="42" t="n">
        <f aca="false">IF(S19="",0,IF(VLOOKUP(E19,$AE$8:$AN$77,10,FALSE())=VLOOKUP(H19,$AE$8:$AN$77,10,FALSE()),1,0))</f>
        <v>0</v>
      </c>
      <c r="V19" s="42" t="n">
        <f aca="false">U19*F19</f>
        <v>0</v>
      </c>
      <c r="W19" s="42" t="n">
        <f aca="false">U19*G19</f>
        <v>0</v>
      </c>
      <c r="X19" s="42" t="n">
        <f aca="false">IF(S19="",0,IF(VLOOKUP(E19,$AE$8:$AO$77,11,FALSE())=VLOOKUP(H19,$AE$8:$AO$77,11,FALSE()),1,0))</f>
        <v>0</v>
      </c>
      <c r="Y19" s="42" t="n">
        <f aca="false">X19*F19</f>
        <v>0</v>
      </c>
      <c r="Z19" s="42" t="n">
        <f aca="false">X19*G19</f>
        <v>0</v>
      </c>
      <c r="AA19" s="42" t="n">
        <f aca="false">IF(OR(E19=my_team,H19=my_team),1,IF(INT(MATCH(E19,$AE$8:$AE$78,0)/6)=$AA$6,1,0))</f>
        <v>0</v>
      </c>
      <c r="AB19" s="42" t="str">
        <f aca="false">IF(OR(F19="",G19=""),"",IF(F19&gt;G19,1,IF(F19&lt;G19,-1,0)))</f>
        <v/>
      </c>
      <c r="BK19" s="83"/>
      <c r="BL19" s="88" t="str">
        <f aca="false">AS15</f>
        <v>2B</v>
      </c>
      <c r="BM19" s="89"/>
      <c r="BN19" s="90"/>
      <c r="BO19" s="91"/>
      <c r="BP19" s="92" t="str">
        <f aca="false">IF(BP18="","",BM19*1000+BN19*10+BO19)</f>
        <v/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3"/>
      <c r="BW19" s="97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7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79"/>
      <c r="G20" s="69"/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/>
      </c>
      <c r="T20" s="43" t="str">
        <f aca="false">IF(S20="","",IF(F20&lt;G20,H20&amp;"_win",IF(F20&gt;G20,H20&amp;"_lose",H20&amp;"_draw")))</f>
        <v/>
      </c>
      <c r="U20" s="42" t="n">
        <f aca="false">IF(S20="",0,IF(VLOOKUP(E20,$AE$8:$AN$77,10,FALSE())=VLOOKUP(H20,$AE$8:$AN$77,10,FALSE()),1,0))</f>
        <v>0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0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str">
        <f aca="false">IF(OR(F20="",G20=""),"",IF(F20&gt;G20,1,IF(F20&lt;G20,-1,0)))</f>
        <v/>
      </c>
      <c r="AD20" s="42" t="n">
        <f aca="false">COUNTIF(AR20:AR23,CONCATENATE("&gt;=",AR20))</f>
        <v>2</v>
      </c>
      <c r="AE20" s="44" t="str">
        <f aca="false">VLOOKUP("Brazil",T,lang,FALSE())</f>
        <v>Brazil</v>
      </c>
      <c r="AF20" s="42" t="n">
        <f aca="false">COUNTIF($S$7:$T$78,"=" &amp; AE20 &amp; "_win")</f>
        <v>0</v>
      </c>
      <c r="AG20" s="42" t="n">
        <f aca="false">COUNTIF($S$7:$T$78,"=" &amp; AE20 &amp; "_draw")</f>
        <v>1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1</v>
      </c>
      <c r="AJ20" s="42" t="n">
        <f aca="false">SUMIF($E$7:$E$78,$AE20,$G$7:$G$78) + SUMIF($H$7:$H$78,$AE20,$F$7:$F$78)</f>
        <v>1</v>
      </c>
      <c r="AL20" s="42" t="n">
        <f aca="false">AI20-AJ20</f>
        <v>0</v>
      </c>
      <c r="AM20" s="42" t="n">
        <f aca="false">AL20-AL24</f>
        <v>1</v>
      </c>
      <c r="AN20" s="42" t="n">
        <f aca="false">AF20*3+AG20</f>
        <v>1</v>
      </c>
      <c r="AO20" s="42" t="n">
        <f aca="false">AN20/AN24*10+BA20</f>
        <v>3.48058252427184</v>
      </c>
      <c r="AP20" s="42" t="n">
        <f aca="false">AO20*10000000+BI20*100+AM20/AM24*10+AI20/AI24*1++IF(AQ20=0,ROW(),AQ20)/2000000</f>
        <v>34805927.1351848</v>
      </c>
      <c r="AQ20" s="46" t="n">
        <f aca="false">VLOOKUP(AE20,db_fifarank,2,FALSE())</f>
        <v>1761.16</v>
      </c>
      <c r="AR20" s="45" t="n">
        <f aca="false">AP20/AP24</f>
        <v>0.46407897793145</v>
      </c>
      <c r="AS20" s="45" t="str">
        <f aca="false">IF(SUM(AF20:AH23)=12,J21,"1C")</f>
        <v>1C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1</v>
      </c>
      <c r="AV20" s="46" t="n">
        <f aca="false" t="array" ref="AV20:AV20">SUMPRODUCT(($E$7:$E$78=AE20)*($U$7:$U$78)*($F$7:$F$78))+SUMPRODUCT(($H$7:$H$78=AE20)*($U$7:$U$78)*($G$7:$G$78))</f>
        <v>1</v>
      </c>
      <c r="AW20" s="46" t="n">
        <f aca="false" t="array" ref="AW20:AW20">SUMPRODUCT(($E$7:$E$78=AE20)*($U$7:$U$78)*($G$7:$G$78))+SUMPRODUCT(($H$7:$H$78=AE20)*($U$7:$U$78)*($F$7:$F$78))</f>
        <v>1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50.5</v>
      </c>
      <c r="BA20" s="46" t="n">
        <f aca="false">AZ20/AZ24</f>
        <v>0.980582524271845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1</v>
      </c>
      <c r="BD20" s="46" t="n">
        <f aca="false" t="array" ref="BD20:BD20">SUMPRODUCT(($E$7:$E$78=AE20)*($X$7:$X$78)*($F$7:$F$78))+SUMPRODUCT(($H$7:$H$78=AE20)*($X$7:$X$78)*($G$7:$G$78))</f>
        <v>1</v>
      </c>
      <c r="BE20" s="46" t="n">
        <f aca="false" t="array" ref="BE20:BE20">SUMPRODUCT(($E$7:$E$78=AE20)*($X$7:$X$78)*($G$7:$G$78))+SUMPRODUCT(($H$7:$H$78=AE20)*($X$7:$X$78)*($F$7:$F$78))</f>
        <v>1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50.5</v>
      </c>
      <c r="BI20" s="46" t="n">
        <f aca="false">BH20/BH24</f>
        <v>0.980582524271845</v>
      </c>
      <c r="BK20" s="74"/>
      <c r="BL20" s="74"/>
      <c r="BM20" s="74"/>
      <c r="BN20" s="74"/>
      <c r="BO20" s="74"/>
      <c r="BP20" s="97"/>
      <c r="BQ20" s="47"/>
      <c r="BR20" s="83" t="n">
        <v>90</v>
      </c>
      <c r="BS20" s="84" t="str">
        <f aca="false">IF(BP18&gt;BP19,BL18,IF(BP18&lt;BP19,BL19,""))</f>
        <v/>
      </c>
      <c r="BT20" s="85"/>
      <c r="BU20" s="86"/>
      <c r="BV20" s="87"/>
      <c r="BW20" s="100" t="str">
        <f aca="false">IF(OR(BT20="",BT21="",AND(BU20="",BU21&lt;&gt;""),AND(BU21="",BU20&lt;&gt;""),AND(BV20="",BV21&lt;&gt;""),AND(BV21="",BV20&lt;&gt;"")),"",BT20*1000+BU20*10+BV20)</f>
        <v/>
      </c>
      <c r="BX20" s="47"/>
      <c r="BY20" s="74"/>
      <c r="BZ20" s="74"/>
      <c r="CA20" s="74"/>
      <c r="CB20" s="74"/>
      <c r="CC20" s="74"/>
      <c r="CD20" s="97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79"/>
      <c r="G21" s="69"/>
      <c r="H21" s="70" t="str">
        <f aca="false">AE47</f>
        <v>New Zealand</v>
      </c>
      <c r="J21" s="75" t="str">
        <f aca="false">VLOOKUP(1,AD20:AN23,2,FALSE())</f>
        <v>Scotland</v>
      </c>
      <c r="K21" s="76" t="n">
        <f aca="false">L21+M21+N21</f>
        <v>1</v>
      </c>
      <c r="L21" s="76" t="n">
        <f aca="false">VLOOKUP(1,AD20:AN23,3,FALSE())</f>
        <v>1</v>
      </c>
      <c r="M21" s="76" t="n">
        <f aca="false">VLOOKUP(1,AD20:AN23,4,FALSE())</f>
        <v>0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1 - 0</v>
      </c>
      <c r="P21" s="77" t="n">
        <f aca="false">L21*3+M21</f>
        <v>3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/>
      </c>
      <c r="T21" s="43" t="str">
        <f aca="false">IF(S21="","",IF(F21&lt;G21,H21&amp;"_win",IF(F21&gt;G21,H21&amp;"_lose",H21&amp;"_draw")))</f>
        <v/>
      </c>
      <c r="U21" s="42" t="n">
        <f aca="false">IF(S21="",0,IF(VLOOKUP(E21,$AE$8:$AN$77,10,FALSE())=VLOOKUP(H21,$AE$8:$AN$77,10,FALSE()),1,0))</f>
        <v>0</v>
      </c>
      <c r="V21" s="42" t="n">
        <f aca="false">U21*F21</f>
        <v>0</v>
      </c>
      <c r="W21" s="42" t="n">
        <f aca="false">U21*G21</f>
        <v>0</v>
      </c>
      <c r="X21" s="42" t="n">
        <f aca="false">IF(S21="",0,IF(VLOOKUP(E21,$AE$8:$AO$77,11,FALSE())=VLOOKUP(H21,$AE$8:$AO$77,11,FALSE()),1,0))</f>
        <v>0</v>
      </c>
      <c r="Y21" s="42" t="n">
        <f aca="false">X21*F21</f>
        <v>0</v>
      </c>
      <c r="Z21" s="42" t="n">
        <f aca="false">X21*G21</f>
        <v>0</v>
      </c>
      <c r="AA21" s="42" t="n">
        <f aca="false">IF(OR(E21=my_team,H21=my_team),1,IF(INT(MATCH(E21,$AE$8:$AE$78,0)/6)=$AA$6,1,0))</f>
        <v>0</v>
      </c>
      <c r="AB21" s="42" t="str">
        <f aca="false">IF(OR(F21="",G21=""),"",IF(F21&gt;G21,1,IF(F21&lt;G21,-1,0)))</f>
        <v/>
      </c>
      <c r="AD21" s="42" t="n">
        <f aca="false">COUNTIF(AR20:AR23,CONCATENATE("&gt;=",AR21))</f>
        <v>3</v>
      </c>
      <c r="AE21" s="44" t="str">
        <f aca="false">VLOOKUP("Morocco",T,lang,FALSE())</f>
        <v>Morocco</v>
      </c>
      <c r="AF21" s="42" t="n">
        <f aca="false">COUNTIF($S$7:$T$78,"=" &amp; AE21 &amp; "_win")</f>
        <v>0</v>
      </c>
      <c r="AG21" s="42" t="n">
        <f aca="false">COUNTIF($S$7:$T$78,"=" &amp; AE21 &amp; "_draw")</f>
        <v>1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1</v>
      </c>
      <c r="AJ21" s="42" t="n">
        <f aca="false">SUMIF($E$7:$E$78,$AE21,$G$7:$G$78) + SUMIF($H$7:$H$78,$AE21,$F$7:$F$78)</f>
        <v>1</v>
      </c>
      <c r="AL21" s="42" t="n">
        <f aca="false">AI21-AJ21</f>
        <v>0</v>
      </c>
      <c r="AM21" s="42" t="n">
        <f aca="false">AL21-AL24</f>
        <v>1</v>
      </c>
      <c r="AN21" s="42" t="n">
        <f aca="false">AF21*3+AG21</f>
        <v>1</v>
      </c>
      <c r="AO21" s="42" t="n">
        <f aca="false">AN21/AN24*10+BA21</f>
        <v>3.48058252427184</v>
      </c>
      <c r="AP21" s="42" t="n">
        <f aca="false">AO21*10000000+BI21*100+AM21/AM24*10+AI21/AI24*1++IF(AQ21=0,ROW(),AQ21)/2000000</f>
        <v>34805927.1351821</v>
      </c>
      <c r="AQ21" s="46" t="n">
        <f aca="false">VLOOKUP(AE21,db_fifarank,2,FALSE())</f>
        <v>1755.87</v>
      </c>
      <c r="AR21" s="45" t="n">
        <f aca="false">AP21/AP24</f>
        <v>0.464078977931415</v>
      </c>
      <c r="AS21" s="45" t="str">
        <f aca="false">IF(SUM(AF20:AH23)=12,J22,"2C")</f>
        <v>2C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1</v>
      </c>
      <c r="AV21" s="46" t="n">
        <f aca="false" t="array" ref="AV21:AV21">SUMPRODUCT(($E$7:$E$78=AE21)*($U$7:$U$78)*($F$7:$F$78))+SUMPRODUCT(($H$7:$H$78=AE21)*($U$7:$U$78)*($G$7:$G$78))</f>
        <v>1</v>
      </c>
      <c r="AW21" s="46" t="n">
        <f aca="false" t="array" ref="AW21:AW21">SUMPRODUCT(($E$7:$E$78=AE21)*($U$7:$U$78)*($G$7:$G$78))+SUMPRODUCT(($H$7:$H$78=AE21)*($U$7:$U$78)*($F$7:$F$78))</f>
        <v>1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50.5</v>
      </c>
      <c r="BA21" s="46" t="n">
        <f aca="false">AZ21/AZ24</f>
        <v>0.980582524271845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1</v>
      </c>
      <c r="BD21" s="46" t="n">
        <f aca="false" t="array" ref="BD21:BD21">SUMPRODUCT(($E$7:$E$78=AE21)*($X$7:$X$78)*($F$7:$F$78))+SUMPRODUCT(($H$7:$H$78=AE21)*($X$7:$X$78)*($G$7:$G$78))</f>
        <v>1</v>
      </c>
      <c r="BE21" s="46" t="n">
        <f aca="false" t="array" ref="BE21:BE21">SUMPRODUCT(($E$7:$E$78=AE21)*($X$7:$X$78)*($G$7:$G$78))+SUMPRODUCT(($H$7:$H$78=AE21)*($X$7:$X$78)*($F$7:$F$78))</f>
        <v>1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50.5</v>
      </c>
      <c r="BI21" s="46" t="n">
        <f aca="false">BH21/BH24</f>
        <v>0.980582524271845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3"/>
      <c r="BP21" s="97" t="n">
        <f aca="false">DATE(2026,6,29)+TIME(14,0,0)+gmt_delta</f>
        <v>46202.875</v>
      </c>
      <c r="BQ21" s="98"/>
      <c r="BR21" s="83"/>
      <c r="BS21" s="88" t="str">
        <f aca="false">IF(BP22&gt;BP23,BL22,IF(BP22&lt;BP23,BL23,""))</f>
        <v/>
      </c>
      <c r="BT21" s="89"/>
      <c r="BU21" s="90"/>
      <c r="BV21" s="91"/>
      <c r="BW21" s="47" t="str">
        <f aca="false">IF(BW20="","",BT21*1000+BU21*10+BV21)</f>
        <v/>
      </c>
      <c r="BX21" s="47"/>
      <c r="BY21" s="74"/>
      <c r="BZ21" s="74"/>
      <c r="CA21" s="74"/>
      <c r="CB21" s="74"/>
      <c r="CC21" s="74"/>
      <c r="CD21" s="97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79"/>
      <c r="G22" s="69"/>
      <c r="H22" s="70" t="str">
        <f aca="false">AE45</f>
        <v>Egypt</v>
      </c>
      <c r="J22" s="80" t="str">
        <f aca="false">VLOOKUP(2,AD20:AN23,2,FALSE())</f>
        <v>Brazil</v>
      </c>
      <c r="K22" s="81" t="n">
        <f aca="false">L22+M22+N22</f>
        <v>1</v>
      </c>
      <c r="L22" s="81" t="n">
        <f aca="false">VLOOKUP(2,AD20:AN23,3,FALSE())</f>
        <v>0</v>
      </c>
      <c r="M22" s="81" t="n">
        <f aca="false">VLOOKUP(2,AD20:AN23,4,FALSE())</f>
        <v>1</v>
      </c>
      <c r="N22" s="81" t="n">
        <f aca="false">VLOOKUP(2,AD20:AN23,5,FALSE())</f>
        <v>0</v>
      </c>
      <c r="O22" s="81" t="str">
        <f aca="false">VLOOKUP(2,AD20:AN23,6,FALSE()) &amp; " - " &amp; VLOOKUP(2,AD20:AN23,7,FALSE())</f>
        <v>1 - 1</v>
      </c>
      <c r="P22" s="82" t="n">
        <f aca="false">L22*3+M22</f>
        <v>1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/>
      </c>
      <c r="T22" s="43" t="str">
        <f aca="false">IF(S22="","",IF(F22&lt;G22,H22&amp;"_win",IF(F22&gt;G22,H22&amp;"_lose",H22&amp;"_draw")))</f>
        <v/>
      </c>
      <c r="U22" s="42" t="n">
        <f aca="false">IF(S22="",0,IF(VLOOKUP(E22,$AE$8:$AN$77,10,FALSE())=VLOOKUP(H22,$AE$8:$AN$77,10,FALSE()),1,0))</f>
        <v>0</v>
      </c>
      <c r="V22" s="42" t="n">
        <f aca="false">U22*F22</f>
        <v>0</v>
      </c>
      <c r="W22" s="42" t="n">
        <f aca="false">U22*G22</f>
        <v>0</v>
      </c>
      <c r="X22" s="42" t="n">
        <f aca="false">IF(S22="",0,IF(VLOOKUP(E22,$AE$8:$AO$77,11,FALSE())=VLOOKUP(H22,$AE$8:$AO$77,11,FALSE()),1,0))</f>
        <v>0</v>
      </c>
      <c r="Y22" s="42" t="n">
        <f aca="false">X22*F22</f>
        <v>0</v>
      </c>
      <c r="Z22" s="42" t="n">
        <f aca="false">X22*G22</f>
        <v>0</v>
      </c>
      <c r="AA22" s="42" t="n">
        <f aca="false">IF(OR(E22=my_team,H22=my_team),1,IF(INT(MATCH(E22,$AE$8:$AE$78,0)/6)=$AA$6,1,0))</f>
        <v>0</v>
      </c>
      <c r="AB22" s="42" t="str">
        <f aca="false">IF(OR(F22="",G22=""),"",IF(F22&gt;G22,1,IF(F22&lt;G22,-1,0)))</f>
        <v/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1</v>
      </c>
      <c r="AI22" s="42" t="n">
        <f aca="false">SUMIF($E$7:$E$78,$AE22,$F$7:$F$78) + SUMIF($H$7:$H$78,$AE22,$G$7:$G$78)</f>
        <v>0</v>
      </c>
      <c r="AJ22" s="42" t="n">
        <f aca="false">SUMIF($E$7:$E$78,$AE22,$G$7:$G$78) + SUMIF($H$7:$H$78,$AE22,$F$7:$F$78)</f>
        <v>1</v>
      </c>
      <c r="AL22" s="42" t="n">
        <f aca="false">AI22-AJ22</f>
        <v>-1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0.000645855</v>
      </c>
      <c r="AQ22" s="46" t="n">
        <f aca="false">VLOOKUP(AE22,db_fifarank,2,FALSE())</f>
        <v>1291.71</v>
      </c>
      <c r="AR22" s="45" t="n">
        <f aca="false">AP22/AP24</f>
        <v>8.6113990622283E-012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3" t="n">
        <v>75</v>
      </c>
      <c r="BL22" s="84" t="str">
        <f aca="false">AS38</f>
        <v>1F</v>
      </c>
      <c r="BM22" s="85"/>
      <c r="BN22" s="86"/>
      <c r="BO22" s="87"/>
      <c r="BP22" s="100" t="str">
        <f aca="false">IF(OR(BM22="",BM23="",AND(BN22="",BN23&lt;&gt;""),AND(BN23="",BN22&lt;&gt;""),AND(BO22="",BO23&lt;&gt;""),AND(BO23="",BO22&lt;&gt;"")),"",BM22*1000+BN22*10+BO22)</f>
        <v/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7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3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79"/>
      <c r="G23" s="69"/>
      <c r="H23" s="70" t="str">
        <f aca="false">AE57</f>
        <v>Senegal</v>
      </c>
      <c r="J23" s="80" t="str">
        <f aca="false">VLOOKUP(3,AD20:AN23,2,FALSE())</f>
        <v>Morocco</v>
      </c>
      <c r="K23" s="81" t="n">
        <f aca="false">L23+M23+N23</f>
        <v>1</v>
      </c>
      <c r="L23" s="81" t="n">
        <f aca="false">VLOOKUP(3,AD20:AN23,3,FALSE())</f>
        <v>0</v>
      </c>
      <c r="M23" s="81" t="n">
        <f aca="false">VLOOKUP(3,AD20:AN23,4,FALSE())</f>
        <v>1</v>
      </c>
      <c r="N23" s="81" t="n">
        <f aca="false">VLOOKUP(3,AD20:AN23,5,FALSE())</f>
        <v>0</v>
      </c>
      <c r="O23" s="81" t="str">
        <f aca="false">VLOOKUP(3,AD20:AN23,6,FALSE()) &amp; " - " &amp; VLOOKUP(3,AD20:AN23,7,FALSE())</f>
        <v>1 - 1</v>
      </c>
      <c r="P23" s="82" t="n">
        <f aca="false">L23*3+M23</f>
        <v>1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/>
      </c>
      <c r="T23" s="43" t="str">
        <f aca="false">IF(S23="","",IF(F23&lt;G23,H23&amp;"_win",IF(F23&gt;G23,H23&amp;"_lose",H23&amp;"_draw")))</f>
        <v/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str">
        <f aca="false">IF(OR(F23="",G23=""),"",IF(F23&gt;G23,1,IF(F23&lt;G23,-1,0)))</f>
        <v/>
      </c>
      <c r="AD23" s="42" t="n">
        <f aca="false">COUNTIF(AR20:AR23,CONCATENATE("&gt;=",AR23))</f>
        <v>1</v>
      </c>
      <c r="AE23" s="44" t="str">
        <f aca="false">VLOOKUP("Scotland",T,lang,FALSE())</f>
        <v>Scotland</v>
      </c>
      <c r="AF23" s="42" t="n">
        <f aca="false">COUNTIF($S$7:$T$78,"=" &amp; AE23 &amp; "_win")</f>
        <v>1</v>
      </c>
      <c r="AG23" s="42" t="n">
        <f aca="false">COUNTIF($S$7:$T$78,"=" &amp; AE23 &amp; "_draw")</f>
        <v>0</v>
      </c>
      <c r="AH23" s="42" t="n">
        <f aca="false">COUNTIF($S$7:$T$78,"=" &amp; AE23 &amp; "_lose")</f>
        <v>0</v>
      </c>
      <c r="AI23" s="42" t="n">
        <f aca="false">SUMIF($E$7:$E$78,$AE23,$F$7:$F$78) + SUMIF($H$7:$H$78,$AE23,$G$7:$G$78)</f>
        <v>1</v>
      </c>
      <c r="AJ23" s="42" t="n">
        <f aca="false">SUMIF($E$7:$E$78,$AE23,$G$7:$G$78) + SUMIF($H$7:$H$78,$AE23,$F$7:$F$78)</f>
        <v>0</v>
      </c>
      <c r="AL23" s="42" t="n">
        <f aca="false">AI23-AJ23</f>
        <v>1</v>
      </c>
      <c r="AM23" s="42" t="n">
        <f aca="false">AL23-AL24</f>
        <v>2</v>
      </c>
      <c r="AN23" s="42" t="n">
        <f aca="false">AF23*3+AG23</f>
        <v>3</v>
      </c>
      <c r="AO23" s="42" t="n">
        <f aca="false">AN23/AN24*10+BA23</f>
        <v>7.5</v>
      </c>
      <c r="AP23" s="42" t="n">
        <f aca="false">AO23*10000000+BI23*100+AM23/AM24*10+AI23/AI24*1++IF(AQ23=0,ROW(),AQ23)/2000000</f>
        <v>75000007.1674158</v>
      </c>
      <c r="AQ23" s="46" t="n">
        <f aca="false">VLOOKUP(AE23,db_fifarank,2,FALSE())</f>
        <v>1498.35</v>
      </c>
      <c r="AR23" s="45" t="n">
        <f aca="false">AP23/AP24</f>
        <v>0.999999986666668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3"/>
      <c r="BL23" s="88" t="str">
        <f aca="false">AS21</f>
        <v>2C</v>
      </c>
      <c r="BM23" s="89"/>
      <c r="BN23" s="90"/>
      <c r="BO23" s="91"/>
      <c r="BP23" s="47" t="str">
        <f aca="false">IF(BP22="","",BM23*1000+BN23*10+BO23)</f>
        <v/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7"/>
      <c r="CE23" s="47"/>
      <c r="CF23" s="83" t="n">
        <v>101</v>
      </c>
      <c r="CG23" s="84" t="str">
        <f aca="false">IF(CD16&gt;CD17,BZ16,IF(CD16&lt;CD17,BZ17,""))</f>
        <v/>
      </c>
      <c r="CH23" s="85"/>
      <c r="CI23" s="86"/>
      <c r="CJ23" s="87"/>
      <c r="CK23" s="47" t="str">
        <f aca="false">IF(OR(CH23="",CH24="",AND(CI23="",CI24&lt;&gt;""),AND(CI24="",CI23&lt;&gt;""),AND(CJ23="",CJ24&lt;&gt;""),AND(CJ24="",CJ23&lt;&gt;"")),"",CH23*1000+CI23*10+CJ23)</f>
        <v/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79"/>
      <c r="G24" s="69"/>
      <c r="H24" s="70" t="str">
        <f aca="false">AE59</f>
        <v>Norway</v>
      </c>
      <c r="J24" s="94" t="str">
        <f aca="false">VLOOKUP(4,AD20:AN23,2,FALSE())</f>
        <v>Haiti</v>
      </c>
      <c r="K24" s="95" t="n">
        <f aca="false">L24+M24+N24</f>
        <v>1</v>
      </c>
      <c r="L24" s="95" t="n">
        <f aca="false">VLOOKUP(4,AD20:AN23,3,FALSE())</f>
        <v>0</v>
      </c>
      <c r="M24" s="95" t="n">
        <f aca="false">VLOOKUP(4,AD20:AN23,4,FALSE())</f>
        <v>0</v>
      </c>
      <c r="N24" s="95" t="n">
        <f aca="false">VLOOKUP(4,AD20:AN23,5,FALSE())</f>
        <v>1</v>
      </c>
      <c r="O24" s="95" t="str">
        <f aca="false">VLOOKUP(4,AD20:AN23,6,FALSE()) &amp; " - " &amp; VLOOKUP(4,AD20:AN23,7,FALSE())</f>
        <v>0 - 1</v>
      </c>
      <c r="P24" s="96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/>
      </c>
      <c r="T24" s="43" t="str">
        <f aca="false">IF(S24="","",IF(F24&lt;G24,H24&amp;"_win",IF(F24&gt;G24,H24&amp;"_lose",H24&amp;"_draw")))</f>
        <v/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str">
        <f aca="false">IF(OR(F24="",G24=""),"",IF(F24&gt;G24,1,IF(F24&lt;G24,-1,0)))</f>
        <v/>
      </c>
      <c r="AF24" s="42" t="n">
        <f aca="false">MAX(AF20:AF23)-MIN(AF20:AF23)+1</f>
        <v>2</v>
      </c>
      <c r="AG24" s="42" t="n">
        <f aca="false">MAX(AG20:AG23)-MIN(AG20:AG23)+1</f>
        <v>2</v>
      </c>
      <c r="AH24" s="42" t="n">
        <f aca="false">MAX(AH20:AH23)-MIN(AH20:AH23)+1</f>
        <v>2</v>
      </c>
      <c r="AI24" s="42" t="n">
        <f aca="false">MAX(AI20:AI23)+1</f>
        <v>2</v>
      </c>
      <c r="AL24" s="42" t="n">
        <f aca="false">MIN(AL20:AL23)</f>
        <v>-1</v>
      </c>
      <c r="AM24" s="42" t="n">
        <f aca="false">MAX(AM20:AM23)+1</f>
        <v>3</v>
      </c>
      <c r="AN24" s="42" t="n">
        <f aca="false">MAX(AN20:AN23)+1</f>
        <v>4</v>
      </c>
      <c r="AO24" s="42" t="n">
        <f aca="false">MAX(AO20:AO23)+1</f>
        <v>8.5</v>
      </c>
      <c r="AP24" s="42" t="n">
        <f aca="false">MAX(AP20:AP23)+1</f>
        <v>75000008.1674158</v>
      </c>
      <c r="AT24" s="46" t="n">
        <f aca="false">MAX(AT20:AT23)-MIN(AT20:AT23)+1</f>
        <v>1</v>
      </c>
      <c r="AU24" s="46" t="n">
        <f aca="false">MAX(AU20:AU23)-MIN(AU20:AU23)+1</f>
        <v>2</v>
      </c>
      <c r="AV24" s="46" t="n">
        <f aca="false">MAX(AV20:AV23)-MIN(AV20:AV23)+1</f>
        <v>2</v>
      </c>
      <c r="AW24" s="46" t="n">
        <f aca="false">MAX(AW20:AW23)-MIN(AW20:AW23)+1</f>
        <v>2</v>
      </c>
      <c r="AY24" s="46" t="n">
        <f aca="false">MAX(AY20:AY23)-MIN(AY20:AY23)+1</f>
        <v>1</v>
      </c>
      <c r="AZ24" s="46" t="n">
        <f aca="false">MAX(AZ20:AZ23)+1</f>
        <v>51.5</v>
      </c>
      <c r="BB24" s="46" t="n">
        <f aca="false">MAX(BB20:BB23)-MIN(BB20:BB23)+1</f>
        <v>1</v>
      </c>
      <c r="BC24" s="46" t="n">
        <f aca="false">MAX(BC20:BC23)-MIN(BC20:BC23)+1</f>
        <v>2</v>
      </c>
      <c r="BD24" s="46" t="n">
        <f aca="false">MAX(BD20:BD23)-MIN(BD20:BD23)+1</f>
        <v>2</v>
      </c>
      <c r="BE24" s="46" t="n">
        <f aca="false">MAX(BE20:BE23)-MIN(BE20:BE23)+1</f>
        <v>2</v>
      </c>
      <c r="BG24" s="46" t="n">
        <f aca="false">MAX(BG20:BG23)-MIN(BG20:BG23)+1</f>
        <v>1</v>
      </c>
      <c r="BH24" s="46" t="n">
        <f aca="false">MAX(BH20:BH23)+1</f>
        <v>51.5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7"/>
      <c r="CE24" s="98"/>
      <c r="CF24" s="83"/>
      <c r="CG24" s="88" t="str">
        <f aca="false">IF(CD32&gt;CD33,BZ32,IF(CD32&lt;CD33,BZ33,""))</f>
        <v/>
      </c>
      <c r="CH24" s="89"/>
      <c r="CI24" s="90"/>
      <c r="CJ24" s="91"/>
      <c r="CK24" s="92" t="str">
        <f aca="false">IF(CK23="","",CH24*1000+CI24*10+CJ24)</f>
        <v/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79"/>
      <c r="G25" s="69"/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/>
      </c>
      <c r="T25" s="43" t="str">
        <f aca="false">IF(S25="","",IF(F25&lt;G25,H25&amp;"_win",IF(F25&gt;G25,H25&amp;"_lose",H25&amp;"_draw")))</f>
        <v/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str">
        <f aca="false">IF(OR(F25="",G25=""),"",IF(F25&gt;G25,1,IF(F25&lt;G25,-1,0)))</f>
        <v/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2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7"/>
      <c r="CE25" s="47"/>
      <c r="CF25" s="74"/>
      <c r="CG25" s="74"/>
      <c r="CH25" s="74"/>
      <c r="CI25" s="74"/>
      <c r="CJ25" s="74"/>
      <c r="CK25" s="97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79"/>
      <c r="G26" s="69"/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/>
      </c>
      <c r="T26" s="43" t="str">
        <f aca="false">IF(S26="","",IF(F26&lt;G26,H26&amp;"_win",IF(F26&gt;G26,H26&amp;"_lose",H26&amp;"_draw")))</f>
        <v/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str">
        <f aca="false">IF(OR(F26="",G26=""),"",IF(F26&gt;G26,1,IF(F26&lt;G26,-1,0)))</f>
        <v/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1</v>
      </c>
      <c r="AG26" s="42" t="n">
        <f aca="false">COUNTIF($S$7:$T$78,"=" &amp; AE26 &amp; "_draw")</f>
        <v>0</v>
      </c>
      <c r="AH26" s="42" t="n">
        <f aca="false">COUNTIF($S$7:$T$78,"=" &amp; AE26 &amp; "_lose")</f>
        <v>0</v>
      </c>
      <c r="AI26" s="42" t="n">
        <f aca="false">SUMIF($E$7:$E$78,$AE26,$F$7:$F$78) + SUMIF($H$7:$H$78,$AE26,$G$7:$G$78)</f>
        <v>4</v>
      </c>
      <c r="AJ26" s="42" t="n">
        <f aca="false">SUMIF($E$7:$E$78,$AE26,$G$7:$G$78) + SUMIF($H$7:$H$78,$AE26,$F$7:$F$78)</f>
        <v>1</v>
      </c>
      <c r="AL26" s="42" t="n">
        <f aca="false">AI26-AJ26</f>
        <v>3</v>
      </c>
      <c r="AM26" s="42" t="n">
        <f aca="false">AL26-AL30</f>
        <v>6</v>
      </c>
      <c r="AN26" s="42" t="n">
        <f aca="false">AF26*3+AG26</f>
        <v>3</v>
      </c>
      <c r="AO26" s="42" t="n">
        <f aca="false">AN26/AN30*10+BA26</f>
        <v>7.5</v>
      </c>
      <c r="AP26" s="42" t="n">
        <f aca="false">AO26*10000000+BI26*100+AM26/AM30*10+AI26/AI30*1++IF(AQ26=0,ROW(),AQ26)/2000000</f>
        <v>75000009.3722651</v>
      </c>
      <c r="AQ26" s="46" t="n">
        <f aca="false">VLOOKUP(AE26,db_fifarank,2,FALSE())</f>
        <v>1673.13</v>
      </c>
      <c r="AR26" s="45" t="n">
        <f aca="false">AP26/AP30</f>
        <v>0.999999986666669</v>
      </c>
      <c r="AS26" s="45" t="str">
        <f aca="false">IF(SUM(AF26:AH29)=12,J27,"1D")</f>
        <v>1D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3" t="n">
        <v>83</v>
      </c>
      <c r="BL26" s="84" t="str">
        <f aca="false">AS69</f>
        <v>2K</v>
      </c>
      <c r="BM26" s="85"/>
      <c r="BN26" s="86"/>
      <c r="BO26" s="87"/>
      <c r="BP26" s="47" t="str">
        <f aca="false">IF(OR(BM26="",BM27="",AND(BN26="",BN27&lt;&gt;""),AND(BN27="",BN26&lt;&gt;""),AND(BO26="",BO27&lt;&gt;""),AND(BO27="",BO26&lt;&gt;"")),"",BM26*1000+BN26*10+BO26)</f>
        <v/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7"/>
      <c r="CE26" s="47"/>
      <c r="CF26" s="74"/>
      <c r="CG26" s="74"/>
      <c r="CH26" s="74"/>
      <c r="CI26" s="74"/>
      <c r="CJ26" s="74"/>
      <c r="CK26" s="97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79"/>
      <c r="G27" s="69"/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1</v>
      </c>
      <c r="L27" s="76" t="n">
        <f aca="false">VLOOKUP(1,AD26:AN29,3,FALSE())</f>
        <v>1</v>
      </c>
      <c r="M27" s="76" t="n">
        <f aca="false">VLOOKUP(1,AD26:AN29,4,FALSE())</f>
        <v>0</v>
      </c>
      <c r="N27" s="76" t="n">
        <f aca="false">VLOOKUP(1,AD26:AN29,5,FALSE())</f>
        <v>0</v>
      </c>
      <c r="O27" s="76" t="str">
        <f aca="false">VLOOKUP(1,AD26:AN29,6,FALSE()) &amp; " - " &amp; VLOOKUP(1,AD26:AN29,7,FALSE())</f>
        <v>4 - 1</v>
      </c>
      <c r="P27" s="77" t="n">
        <f aca="false">L27*3+M27</f>
        <v>3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/>
      </c>
      <c r="T27" s="43" t="str">
        <f aca="false">IF(S27="","",IF(F27&lt;G27,H27&amp;"_win",IF(F27&gt;G27,H27&amp;"_lose",H27&amp;"_draw")))</f>
        <v/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str">
        <f aca="false">IF(OR(F27="",G27=""),"",IF(F27&gt;G27,1,IF(F27&lt;G27,-1,0)))</f>
        <v/>
      </c>
      <c r="AD27" s="42" t="n">
        <f aca="false">COUNTIF(AR26:AR29,CONCATENATE("&gt;=",AR27))</f>
        <v>4</v>
      </c>
      <c r="AE27" s="44" t="str">
        <f aca="false">VLOOKUP("Paraguay",T,lang,FALSE())</f>
        <v>Paraguay</v>
      </c>
      <c r="AF27" s="42" t="n">
        <f aca="false">COUNTIF($S$7:$T$78,"=" &amp; AE27 &amp; "_win")</f>
        <v>0</v>
      </c>
      <c r="AG27" s="42" t="n">
        <f aca="false">COUNTIF($S$7:$T$78,"=" &amp; AE27 &amp; "_draw")</f>
        <v>0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1</v>
      </c>
      <c r="AJ27" s="42" t="n">
        <f aca="false">SUMIF($E$7:$E$78,$AE27,$G$7:$G$78) + SUMIF($H$7:$H$78,$AE27,$F$7:$F$78)</f>
        <v>4</v>
      </c>
      <c r="AL27" s="42" t="n">
        <f aca="false">AI27-AJ27</f>
        <v>-3</v>
      </c>
      <c r="AM27" s="42" t="n">
        <f aca="false">AL27-AL30</f>
        <v>0</v>
      </c>
      <c r="AN27" s="42" t="n">
        <f aca="false">AF27*3+AG27</f>
        <v>0</v>
      </c>
      <c r="AO27" s="42" t="n">
        <f aca="false">AN27/AN30*10+BA27</f>
        <v>0</v>
      </c>
      <c r="AP27" s="42" t="n">
        <f aca="false">AO27*10000000+BI27*100+AM27/AM30*10+AI27/AI30*1++IF(AQ27=0,ROW(),AQ27)/2000000</f>
        <v>0.20075175</v>
      </c>
      <c r="AQ27" s="46" t="n">
        <f aca="false">VLOOKUP(AE27,db_fifarank,2,FALSE())</f>
        <v>1503.5</v>
      </c>
      <c r="AR27" s="45" t="n">
        <f aca="false">AP27/AP30</f>
        <v>2.67668962982221E-009</v>
      </c>
      <c r="AS27" s="45" t="str">
        <f aca="false">IF(SUM(AF26:AH29)=12,J28,"2D")</f>
        <v>2D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0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0</v>
      </c>
      <c r="BA27" s="46" t="n">
        <f aca="false">AZ27/AZ30</f>
        <v>0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0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0</v>
      </c>
      <c r="BI27" s="46" t="n">
        <f aca="false">BH27/BH30</f>
        <v>0</v>
      </c>
      <c r="BK27" s="83"/>
      <c r="BL27" s="88" t="str">
        <f aca="false">AS75</f>
        <v>2L</v>
      </c>
      <c r="BM27" s="89"/>
      <c r="BN27" s="90"/>
      <c r="BO27" s="91"/>
      <c r="BP27" s="92" t="str">
        <f aca="false">IF(BP26="","",BM27*1000+BN27*10+BO27)</f>
        <v/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3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7"/>
      <c r="CE27" s="47"/>
      <c r="CF27" s="74"/>
      <c r="CG27" s="74"/>
      <c r="CH27" s="74"/>
      <c r="CI27" s="74"/>
      <c r="CJ27" s="74"/>
      <c r="CK27" s="97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79"/>
      <c r="G28" s="69"/>
      <c r="H28" s="70" t="str">
        <f aca="false">AE75</f>
        <v>Croatia</v>
      </c>
      <c r="J28" s="80" t="str">
        <f aca="false">VLOOKUP(2,AD26:AN29,2,FALSE())</f>
        <v>Australia</v>
      </c>
      <c r="K28" s="81" t="n">
        <f aca="false">L28+M28+N28</f>
        <v>1</v>
      </c>
      <c r="L28" s="81" t="n">
        <f aca="false">VLOOKUP(2,AD26:AN29,3,FALSE())</f>
        <v>1</v>
      </c>
      <c r="M28" s="81" t="n">
        <f aca="false">VLOOKUP(2,AD26:AN29,4,FALSE())</f>
        <v>0</v>
      </c>
      <c r="N28" s="81" t="n">
        <f aca="false">VLOOKUP(2,AD26:AN29,5,FALSE())</f>
        <v>0</v>
      </c>
      <c r="O28" s="81" t="str">
        <f aca="false">VLOOKUP(2,AD26:AN29,6,FALSE()) &amp; " - " &amp; VLOOKUP(2,AD26:AN29,7,FALSE())</f>
        <v>2 - 0</v>
      </c>
      <c r="P28" s="82" t="n">
        <f aca="false">L28*3+M28</f>
        <v>3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/>
      </c>
      <c r="T28" s="43" t="str">
        <f aca="false">IF(S28="","",IF(F28&lt;G28,H28&amp;"_win",IF(F28&gt;G28,H28&amp;"_lose",H28&amp;"_draw")))</f>
        <v/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str">
        <f aca="false">IF(OR(F28="",G28=""),"",IF(F28&gt;G28,1,IF(F28&lt;G28,-1,0)))</f>
        <v/>
      </c>
      <c r="AD28" s="42" t="n">
        <f aca="false">COUNTIF(AR26:AR29,CONCATENATE("&gt;=",AR28))</f>
        <v>2</v>
      </c>
      <c r="AE28" s="44" t="str">
        <f aca="false">VLOOKUP("Australia",T,lang,FALSE())</f>
        <v>Australia</v>
      </c>
      <c r="AF28" s="42" t="n">
        <f aca="false">COUNTIF($S$7:$T$78,"=" &amp; AE28 &amp; "_win")</f>
        <v>1</v>
      </c>
      <c r="AG28" s="42" t="n">
        <f aca="false">COUNTIF($S$7:$T$78,"=" &amp; AE28 &amp; "_draw")</f>
        <v>0</v>
      </c>
      <c r="AH28" s="42" t="n">
        <f aca="false">COUNTIF($S$7:$T$78,"=" &amp; AE28 &amp; "_lose")</f>
        <v>0</v>
      </c>
      <c r="AI28" s="42" t="n">
        <f aca="false">SUMIF($E$7:$E$78,$AE28,$F$7:$F$78) + SUMIF($H$7:$H$78,$AE28,$G$7:$G$78)</f>
        <v>2</v>
      </c>
      <c r="AJ28" s="42" t="n">
        <f aca="false">SUMIF($E$7:$E$78,$AE28,$G$7:$G$78) + SUMIF($H$7:$H$78,$AE28,$F$7:$F$78)</f>
        <v>0</v>
      </c>
      <c r="AL28" s="42" t="n">
        <f aca="false">AI28-AJ28</f>
        <v>2</v>
      </c>
      <c r="AM28" s="42" t="n">
        <f aca="false">AL28-AL30</f>
        <v>5</v>
      </c>
      <c r="AN28" s="42" t="n">
        <f aca="false">AF28*3+AG28</f>
        <v>3</v>
      </c>
      <c r="AO28" s="42" t="n">
        <f aca="false">AN28/AN30*10+BA28</f>
        <v>7.5</v>
      </c>
      <c r="AP28" s="42" t="n">
        <f aca="false">AO28*10000000+BI28*100+AM28/AM30*10+AI28/AI30*1++IF(AQ28=0,ROW(),AQ28)/2000000</f>
        <v>75000007.5436475</v>
      </c>
      <c r="AQ28" s="46" t="n">
        <f aca="false">VLOOKUP(AE28,db_fifarank,2,FALSE())</f>
        <v>1580.67</v>
      </c>
      <c r="AR28" s="45" t="n">
        <f aca="false">AP28/AP30</f>
        <v>0.999999962285103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0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0</v>
      </c>
      <c r="BA28" s="46" t="n">
        <f aca="false">AZ28/AZ30</f>
        <v>0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0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0</v>
      </c>
      <c r="BI28" s="46" t="n">
        <f aca="false">BH28/BH30</f>
        <v>0</v>
      </c>
      <c r="BK28" s="74"/>
      <c r="BL28" s="74"/>
      <c r="BM28" s="74"/>
      <c r="BN28" s="74"/>
      <c r="BO28" s="74"/>
      <c r="BP28" s="97"/>
      <c r="BQ28" s="47"/>
      <c r="BR28" s="83" t="n">
        <v>93</v>
      </c>
      <c r="BS28" s="84" t="str">
        <f aca="false">IF(BP26&gt;BP27,BL26,IF(BP26&lt;BP27,BL27,""))</f>
        <v/>
      </c>
      <c r="BT28" s="85"/>
      <c r="BU28" s="86"/>
      <c r="BV28" s="87"/>
      <c r="BW28" s="47" t="str">
        <f aca="false">IF(OR(BT28="",BT29="",AND(BU28="",BU29&lt;&gt;""),AND(BU29="",BU28&lt;&gt;""),AND(BV28="",BV29&lt;&gt;""),AND(BV29="",BV28&lt;&gt;"")),"",BT28*1000+BU28*10+BV28)</f>
        <v/>
      </c>
      <c r="BX28" s="47"/>
      <c r="BY28" s="74"/>
      <c r="BZ28" s="74"/>
      <c r="CA28" s="74"/>
      <c r="CB28" s="74"/>
      <c r="CC28" s="74"/>
      <c r="CD28" s="97"/>
      <c r="CE28" s="47"/>
      <c r="CF28" s="74"/>
      <c r="CG28" s="74"/>
      <c r="CH28" s="74"/>
      <c r="CI28" s="74"/>
      <c r="CJ28" s="74"/>
      <c r="CK28" s="97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79"/>
      <c r="G29" s="69"/>
      <c r="H29" s="70" t="str">
        <f aca="false">AE69</f>
        <v>DR Congo</v>
      </c>
      <c r="J29" s="80" t="str">
        <f aca="false">VLOOKUP(3,AD26:AN29,2,FALSE())</f>
        <v>Turkey</v>
      </c>
      <c r="K29" s="81" t="n">
        <f aca="false">L29+M29+N29</f>
        <v>1</v>
      </c>
      <c r="L29" s="81" t="n">
        <f aca="false">VLOOKUP(3,AD26:AN29,3,FALSE())</f>
        <v>0</v>
      </c>
      <c r="M29" s="81" t="n">
        <f aca="false">VLOOKUP(3,AD26:AN29,4,FALSE())</f>
        <v>0</v>
      </c>
      <c r="N29" s="81" t="n">
        <f aca="false">VLOOKUP(3,AD26:AN29,5,FALSE())</f>
        <v>1</v>
      </c>
      <c r="O29" s="81" t="str">
        <f aca="false">VLOOKUP(3,AD26:AN29,6,FALSE()) &amp; " - " &amp; VLOOKUP(3,AD26:AN29,7,FALSE())</f>
        <v>0 - 2</v>
      </c>
      <c r="P29" s="82" t="n">
        <f aca="false">L29*3+M29</f>
        <v>0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/>
      </c>
      <c r="T29" s="43" t="str">
        <f aca="false">IF(S29="","",IF(F29&lt;G29,H29&amp;"_win",IF(F29&gt;G29,H29&amp;"_lose",H29&amp;"_draw")))</f>
        <v/>
      </c>
      <c r="U29" s="42" t="n">
        <f aca="false">IF(S29="",0,IF(VLOOKUP(E29,$AE$8:$AN$77,10,FALSE())=VLOOKUP(H29,$AE$8:$AN$77,10,FALSE()),1,0))</f>
        <v>0</v>
      </c>
      <c r="V29" s="42" t="n">
        <f aca="false">U29*F29</f>
        <v>0</v>
      </c>
      <c r="W29" s="42" t="n">
        <f aca="false">U29*G29</f>
        <v>0</v>
      </c>
      <c r="X29" s="42" t="n">
        <f aca="false">IF(S29="",0,IF(VLOOKUP(E29,$AE$8:$AO$77,11,FALSE())=VLOOKUP(H29,$AE$8:$AO$77,11,FALSE()),1,0))</f>
        <v>0</v>
      </c>
      <c r="Y29" s="42" t="n">
        <f aca="false">X29*F29</f>
        <v>0</v>
      </c>
      <c r="Z29" s="42" t="n">
        <f aca="false">X29*G29</f>
        <v>0</v>
      </c>
      <c r="AA29" s="42" t="n">
        <f aca="false">IF(OR(E29=my_team,H29=my_team),1,IF(INT(MATCH(E29,$AE$8:$AE$78,0)/6)=$AA$6,1,0))</f>
        <v>0</v>
      </c>
      <c r="AB29" s="42" t="str">
        <f aca="false">IF(OR(F29="",G29=""),"",IF(F29&gt;G29,1,IF(F29&lt;G29,-1,0)))</f>
        <v/>
      </c>
      <c r="AD29" s="42" t="n">
        <f aca="false">COUNTIF(AR26:AR29,CONCATENATE("&gt;=",AR29))</f>
        <v>3</v>
      </c>
      <c r="AE29" s="44" t="str">
        <f aca="false">VLOOKUP("Turkey",T,lang,FALSE())</f>
        <v>Turkey</v>
      </c>
      <c r="AF29" s="42" t="n">
        <f aca="false">COUNTIF($S$7:$T$78,"=" &amp; AE29 &amp; "_win")</f>
        <v>0</v>
      </c>
      <c r="AG29" s="42" t="n">
        <f aca="false">COUNTIF($S$7:$T$78,"=" &amp; AE29 &amp; "_draw")</f>
        <v>0</v>
      </c>
      <c r="AH29" s="42" t="n">
        <f aca="false">COUNTIF($S$7:$T$78,"=" &amp; AE29 &amp; "_lose")</f>
        <v>1</v>
      </c>
      <c r="AI29" s="42" t="n">
        <f aca="false">SUMIF($E$7:$E$78,$AE29,$F$7:$F$78) + SUMIF($H$7:$H$78,$AE29,$G$7:$G$78)</f>
        <v>0</v>
      </c>
      <c r="AJ29" s="42" t="n">
        <f aca="false">SUMIF($E$7:$E$78,$AE29,$G$7:$G$78) + SUMIF($H$7:$H$78,$AE29,$F$7:$F$78)</f>
        <v>2</v>
      </c>
      <c r="AL29" s="42" t="n">
        <f aca="false">AI29-AJ29</f>
        <v>-2</v>
      </c>
      <c r="AM29" s="42" t="n">
        <f aca="false">AL29-AL30</f>
        <v>1</v>
      </c>
      <c r="AN29" s="42" t="n">
        <f aca="false">AF29*3+AG29</f>
        <v>0</v>
      </c>
      <c r="AO29" s="42" t="n">
        <f aca="false">AN29/AN30*10+BA29</f>
        <v>0</v>
      </c>
      <c r="AP29" s="42" t="n">
        <f aca="false">AO29*10000000+BI29*100+AM29/AM30*10+AI29/AI30*1++IF(AQ29=0,ROW(),AQ29)/2000000</f>
        <v>1.42937094857143</v>
      </c>
      <c r="AQ29" s="46" t="n">
        <f aca="false">VLOOKUP(AE29,db_fifarank,2,FALSE())</f>
        <v>1599.04</v>
      </c>
      <c r="AR29" s="45" t="n">
        <f aca="false">AP29/AP30</f>
        <v>1.90582766785857E-008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3"/>
      <c r="BP29" s="97" t="n">
        <f aca="false">DATE(2026,7,2)+TIME(8,0,0)+gmt_delta</f>
        <v>46205.625</v>
      </c>
      <c r="BQ29" s="98"/>
      <c r="BR29" s="83"/>
      <c r="BS29" s="88" t="str">
        <f aca="false">IF(BP30&gt;BP31,BL30,IF(BP30&lt;BP31,BL31,""))</f>
        <v/>
      </c>
      <c r="BT29" s="89"/>
      <c r="BU29" s="90"/>
      <c r="BV29" s="91"/>
      <c r="BW29" s="92" t="str">
        <f aca="false">IF(BW28="","",BT29*1000+BU29*10+BV29)</f>
        <v/>
      </c>
      <c r="BX29" s="47"/>
      <c r="BY29" s="74"/>
      <c r="BZ29" s="74"/>
      <c r="CA29" s="74"/>
      <c r="CB29" s="74"/>
      <c r="CC29" s="74"/>
      <c r="CD29" s="97"/>
      <c r="CE29" s="47"/>
      <c r="CF29" s="74"/>
      <c r="CG29" s="74"/>
      <c r="CH29" s="74"/>
      <c r="CI29" s="74"/>
      <c r="CJ29" s="74"/>
      <c r="CK29" s="97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79"/>
      <c r="G30" s="69"/>
      <c r="H30" s="70" t="str">
        <f aca="false">AE71</f>
        <v>Colombia</v>
      </c>
      <c r="J30" s="94" t="str">
        <f aca="false">VLOOKUP(4,AD26:AN29,2,FALSE())</f>
        <v>Paraguay</v>
      </c>
      <c r="K30" s="95" t="n">
        <f aca="false">L30+M30+N30</f>
        <v>1</v>
      </c>
      <c r="L30" s="95" t="n">
        <f aca="false">VLOOKUP(4,AD26:AN29,3,FALSE())</f>
        <v>0</v>
      </c>
      <c r="M30" s="95" t="n">
        <f aca="false">VLOOKUP(4,AD26:AN29,4,FALSE())</f>
        <v>0</v>
      </c>
      <c r="N30" s="95" t="n">
        <f aca="false">VLOOKUP(4,AD26:AN29,5,FALSE())</f>
        <v>1</v>
      </c>
      <c r="O30" s="95" t="str">
        <f aca="false">VLOOKUP(4,AD26:AN29,6,FALSE()) &amp; " - " &amp; VLOOKUP(4,AD26:AN29,7,FALSE())</f>
        <v>1 - 4</v>
      </c>
      <c r="P30" s="96" t="n">
        <f aca="false">L30*3+M30</f>
        <v>0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/>
      </c>
      <c r="T30" s="43" t="str">
        <f aca="false">IF(S30="","",IF(F30&lt;G30,H30&amp;"_win",IF(F30&gt;G30,H30&amp;"_lose",H30&amp;"_draw")))</f>
        <v/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str">
        <f aca="false">IF(OR(F30="",G30=""),"",IF(F30&gt;G30,1,IF(F30&lt;G30,-1,0)))</f>
        <v/>
      </c>
      <c r="AF30" s="42" t="n">
        <f aca="false">MAX(AF26:AF29)-MIN(AF26:AF29)+1</f>
        <v>2</v>
      </c>
      <c r="AG30" s="42" t="n">
        <f aca="false">MAX(AG26:AG29)-MIN(AG26:AG29)+1</f>
        <v>1</v>
      </c>
      <c r="AH30" s="42" t="n">
        <f aca="false">MAX(AH26:AH29)-MIN(AH26:AH29)+1</f>
        <v>2</v>
      </c>
      <c r="AI30" s="42" t="n">
        <f aca="false">MAX(AI26:AI29)+1</f>
        <v>5</v>
      </c>
      <c r="AL30" s="42" t="n">
        <f aca="false">MIN(AL26:AL29)</f>
        <v>-3</v>
      </c>
      <c r="AM30" s="42" t="n">
        <f aca="false">MAX(AM26:AM29)+1</f>
        <v>7</v>
      </c>
      <c r="AN30" s="42" t="n">
        <f aca="false">MAX(AN26:AN29)+1</f>
        <v>4</v>
      </c>
      <c r="AO30" s="42" t="n">
        <f aca="false">MAX(AO26:AO29)+1</f>
        <v>8.5</v>
      </c>
      <c r="AP30" s="42" t="n">
        <f aca="false">MAX(AP26:AP29)+1</f>
        <v>75000010.3722651</v>
      </c>
      <c r="AT30" s="46" t="n">
        <f aca="false">MAX(AT26:AT29)-MIN(AT26:AT29)+1</f>
        <v>1</v>
      </c>
      <c r="AU30" s="46" t="n">
        <f aca="false">MAX(AU26:AU29)-MIN(AU26:AU29)+1</f>
        <v>1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1</v>
      </c>
      <c r="BB30" s="46" t="n">
        <f aca="false">MAX(BB26:BB29)-MIN(BB26:BB29)+1</f>
        <v>1</v>
      </c>
      <c r="BC30" s="46" t="n">
        <f aca="false">MAX(BC26:BC29)-MIN(BC26:BC29)+1</f>
        <v>1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1</v>
      </c>
      <c r="BK30" s="83" t="n">
        <v>84</v>
      </c>
      <c r="BL30" s="84" t="str">
        <f aca="false">AS50</f>
        <v>1H</v>
      </c>
      <c r="BM30" s="85"/>
      <c r="BN30" s="86"/>
      <c r="BO30" s="87"/>
      <c r="BP30" s="100" t="str">
        <f aca="false">IF(OR(BM30="",BM31="",AND(BN30="",BN31&lt;&gt;""),AND(BN31="",BN30&lt;&gt;""),AND(BO30="",BO31&lt;&gt;""),AND(BO31="",BO30&lt;&gt;"")),"",BM30*1000+BN30*10+BO30)</f>
        <v/>
      </c>
      <c r="BQ30" s="47"/>
      <c r="BR30" s="74"/>
      <c r="BS30" s="74"/>
      <c r="BT30" s="74"/>
      <c r="BU30" s="74"/>
      <c r="BV30" s="74"/>
      <c r="BW30" s="97"/>
      <c r="BX30" s="47"/>
      <c r="BY30" s="74"/>
      <c r="BZ30" s="74"/>
      <c r="CA30" s="74"/>
      <c r="CB30" s="74"/>
      <c r="CC30" s="74"/>
      <c r="CD30" s="97"/>
      <c r="CE30" s="47"/>
      <c r="CF30" s="74"/>
      <c r="CG30" s="74"/>
      <c r="CH30" s="74"/>
      <c r="CI30" s="74"/>
      <c r="CJ30" s="74"/>
      <c r="CK30" s="97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79"/>
      <c r="G31" s="69"/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/>
      </c>
      <c r="T31" s="43" t="str">
        <f aca="false">IF(S31="","",IF(F31&lt;G31,H31&amp;"_win",IF(F31&gt;G31,H31&amp;"_lose",H31&amp;"_draw")))</f>
        <v/>
      </c>
      <c r="U31" s="42" t="n">
        <f aca="false">IF(S31="",0,IF(VLOOKUP(E31,$AE$8:$AN$77,10,FALSE())=VLOOKUP(H31,$AE$8:$AN$77,10,FALSE()),1,0))</f>
        <v>0</v>
      </c>
      <c r="V31" s="42" t="n">
        <f aca="false">U31*F31</f>
        <v>0</v>
      </c>
      <c r="W31" s="42" t="n">
        <f aca="false">U31*G31</f>
        <v>0</v>
      </c>
      <c r="X31" s="42" t="n">
        <f aca="false">IF(S31="",0,IF(VLOOKUP(E31,$AE$8:$AO$77,11,FALSE())=VLOOKUP(H31,$AE$8:$AO$77,11,FALSE()),1,0))</f>
        <v>0</v>
      </c>
      <c r="Y31" s="42" t="n">
        <f aca="false">X31*F31</f>
        <v>0</v>
      </c>
      <c r="Z31" s="42" t="n">
        <f aca="false">X31*G31</f>
        <v>0</v>
      </c>
      <c r="AA31" s="42" t="n">
        <f aca="false">IF(OR(E31=my_team,H31=my_team),1,IF(INT(MATCH(E31,$AE$8:$AE$78,0)/6)=$AA$6,1,0))</f>
        <v>0</v>
      </c>
      <c r="AB31" s="42" t="str">
        <f aca="false">IF(OR(F31="",G31=""),"",IF(F31&gt;G31,1,IF(F31&lt;G31,-1,0)))</f>
        <v/>
      </c>
      <c r="BK31" s="83"/>
      <c r="BL31" s="88" t="str">
        <f aca="false">AS63</f>
        <v>2J</v>
      </c>
      <c r="BM31" s="89"/>
      <c r="BN31" s="90"/>
      <c r="BO31" s="91"/>
      <c r="BP31" s="47" t="str">
        <f aca="false">IF(BP30="","",BM31*1000+BN31*10+BO31)</f>
        <v/>
      </c>
      <c r="BQ31" s="47"/>
      <c r="BR31" s="74"/>
      <c r="BS31" s="74"/>
      <c r="BT31" s="74"/>
      <c r="BU31" s="74"/>
      <c r="BV31" s="74"/>
      <c r="BW31" s="97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3"/>
      <c r="CD31" s="97" t="n">
        <f aca="false">DATE(2026,7,10)+TIME(8,0,0)+gmt_delta</f>
        <v>46213.625</v>
      </c>
      <c r="CE31" s="47"/>
      <c r="CK31" s="97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79"/>
      <c r="G32" s="69"/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/>
      </c>
      <c r="T32" s="43" t="str">
        <f aca="false">IF(S32="","",IF(F32&lt;G32,H32&amp;"_win",IF(F32&gt;G32,H32&amp;"_lose",H32&amp;"_draw")))</f>
        <v/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str">
        <f aca="false">IF(OR(F32="",G32=""),"",IF(F32&gt;G32,1,IF(F32&lt;G32,-1,0)))</f>
        <v/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0</v>
      </c>
      <c r="AG32" s="42" t="n">
        <f aca="false">COUNTIF($S$7:$T$78,"=" &amp; AE32 &amp; "_draw")</f>
        <v>0</v>
      </c>
      <c r="AH32" s="42" t="n">
        <f aca="false">COUNTIF($S$7:$T$78,"=" &amp; AE32 &amp; "_lose")</f>
        <v>0</v>
      </c>
      <c r="AI32" s="42" t="n">
        <f aca="false">SUMIF($E$7:$E$78,$AE32,$F$7:$F$78) + SUMIF($H$7:$H$78,$AE32,$G$7:$G$78)</f>
        <v>0</v>
      </c>
      <c r="AJ32" s="42" t="n">
        <f aca="false">SUMIF($E$7:$E$78,$AE32,$G$7:$G$78) + SUMIF($H$7:$H$78,$AE32,$F$7:$F$78)</f>
        <v>0</v>
      </c>
      <c r="AL32" s="42" t="n">
        <f aca="false">AI32-AJ32</f>
        <v>0</v>
      </c>
      <c r="AM32" s="42" t="n">
        <f aca="false">AL32-AL36</f>
        <v>0</v>
      </c>
      <c r="AN32" s="42" t="n">
        <f aca="false">AF32*3+AG32</f>
        <v>0</v>
      </c>
      <c r="AO32" s="42" t="n">
        <f aca="false">AN32/AN36*10+BA32</f>
        <v>0</v>
      </c>
      <c r="AP32" s="42" t="n">
        <f aca="false">AO32*10000000+BI32*100+AM32/AM36*10+AI32/AI36*1++IF(AQ32=0,ROW(),AQ32)/2000000</f>
        <v>0.000865185</v>
      </c>
      <c r="AQ32" s="46" t="n">
        <f aca="false">VLOOKUP(AE32,db_fifarank,2,FALSE())</f>
        <v>1730.37</v>
      </c>
      <c r="AR32" s="45" t="n">
        <f aca="false">AP32/AP36</f>
        <v>0.000864437101985918</v>
      </c>
      <c r="AS32" s="45" t="str">
        <f aca="false">IF(SUM(AF32:AH35)=12,J33,"1E")</f>
        <v>1E</v>
      </c>
      <c r="AT32" s="46" t="n">
        <f aca="false" t="array" ref="AT32:AT32">SUMPRODUCT(($S$7:$S$78=AE32&amp;"_win")*($U$7:$U$78))+SUMPRODUCT(($T$7:$T$78=AE32&amp;"_win")*($U$7:$U$78))</f>
        <v>0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0</v>
      </c>
      <c r="AW32" s="46" t="n">
        <f aca="false" t="array" ref="AW32:AW32">SUMPRODUCT(($E$7:$E$78=AE32)*($U$7:$U$78)*($G$7:$G$78))+SUMPRODUCT(($H$7:$H$78=AE32)*($U$7:$U$78)*($F$7:$F$78))</f>
        <v>0</v>
      </c>
      <c r="AX32" s="46" t="n">
        <f aca="false">AV32-AW32</f>
        <v>0</v>
      </c>
      <c r="AY32" s="46" t="n">
        <f aca="false">AX32-MIN(AX32:AX35)</f>
        <v>0</v>
      </c>
      <c r="AZ32" s="46" t="n">
        <f aca="false">AT32/AT36*1000+AU32/AU36*100+AY32/AY36*10+AV32/AV36</f>
        <v>0</v>
      </c>
      <c r="BA32" s="46" t="n">
        <f aca="false">AZ32/AZ36</f>
        <v>0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7"/>
      <c r="BX32" s="47"/>
      <c r="BY32" s="83" t="n">
        <v>98</v>
      </c>
      <c r="BZ32" s="84" t="str">
        <f aca="false">IF(BW28&gt;BW29,BS28,IF(BW28&lt;BW29,BS29,""))</f>
        <v/>
      </c>
      <c r="CA32" s="85"/>
      <c r="CB32" s="86"/>
      <c r="CC32" s="87"/>
      <c r="CD32" s="100" t="str">
        <f aca="false">IF(OR(CA32="",CA33="",AND(CB32="",CB33&lt;&gt;""),AND(CB33="",CB32&lt;&gt;""),AND(CC32="",CC33&lt;&gt;""),AND(CC33="",CC32&lt;&gt;"")),"",CA32*1000+CB32*10+CC32)</f>
        <v/>
      </c>
      <c r="CE32" s="47"/>
      <c r="CK32" s="97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79"/>
      <c r="G33" s="69"/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0</v>
      </c>
      <c r="L33" s="76" t="n">
        <f aca="false">VLOOKUP(1,AD32:AN35,3,FALSE())</f>
        <v>0</v>
      </c>
      <c r="M33" s="76" t="n">
        <f aca="false">VLOOKUP(1,AD32:AN35,4,FALSE())</f>
        <v>0</v>
      </c>
      <c r="N33" s="76" t="n">
        <f aca="false">VLOOKUP(1,AD32:AN35,5,FALSE())</f>
        <v>0</v>
      </c>
      <c r="O33" s="76" t="str">
        <f aca="false">VLOOKUP(1,AD32:AN35,6,FALSE()) &amp; " - " &amp; VLOOKUP(1,AD32:AN35,7,FALSE())</f>
        <v>0 - 0</v>
      </c>
      <c r="P33" s="77" t="n">
        <f aca="false">L33*3+M33</f>
        <v>0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/>
      </c>
      <c r="T33" s="43" t="str">
        <f aca="false">IF(S33="","",IF(F33&lt;G33,H33&amp;"_win",IF(F33&gt;G33,H33&amp;"_lose",H33&amp;"_draw")))</f>
        <v/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str">
        <f aca="false">IF(OR(F33="",G33=""),"",IF(F33&gt;G33,1,IF(F33&lt;G33,-1,0)))</f>
        <v/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0</v>
      </c>
      <c r="AH33" s="42" t="n">
        <f aca="false">COUNTIF($S$7:$T$78,"=" &amp; AE33 &amp; "_lose")</f>
        <v>0</v>
      </c>
      <c r="AI33" s="42" t="n">
        <f aca="false">SUMIF($E$7:$E$78,$AE33,$F$7:$F$78) + SUMIF($H$7:$H$78,$AE33,$G$7:$G$78)</f>
        <v>0</v>
      </c>
      <c r="AJ33" s="42" t="n">
        <f aca="false">SUMIF($E$7:$E$78,$AE33,$G$7:$G$78) + SUMIF($H$7:$H$78,$AE33,$F$7:$F$78)</f>
        <v>0</v>
      </c>
      <c r="AL33" s="42" t="n">
        <f aca="false">AI33-AJ33</f>
        <v>0</v>
      </c>
      <c r="AM33" s="42" t="n">
        <f aca="false">AL33-AL36</f>
        <v>0</v>
      </c>
      <c r="AN33" s="42" t="n">
        <f aca="false">AF33*3+AG33</f>
        <v>0</v>
      </c>
      <c r="AO33" s="42" t="n">
        <f aca="false">AN33/AN36*10+BA33</f>
        <v>0</v>
      </c>
      <c r="AP33" s="42" t="n">
        <f aca="false">AO33*10000000+BI33*100+AM33/AM36*10+AI33/AI36*1++IF(AQ33=0,ROW(),AQ33)/2000000</f>
        <v>0.000647325</v>
      </c>
      <c r="AQ33" s="46" t="n">
        <f aca="false">VLOOKUP(AE33,db_fifarank,2,FALSE())</f>
        <v>1294.65</v>
      </c>
      <c r="AR33" s="45" t="n">
        <f aca="false">AP33/AP36</f>
        <v>0.000646765428252957</v>
      </c>
      <c r="AS33" s="45" t="str">
        <f aca="false">IF(SUM(AF32:AH35)=12,J34,"2E")</f>
        <v>2E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0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0</v>
      </c>
      <c r="AZ33" s="46" t="n">
        <f aca="false">AT33/AT36*1000+AU33/AU36*100+AY33/AY36*10+AV33/AV36</f>
        <v>0</v>
      </c>
      <c r="BA33" s="46" t="n">
        <f aca="false">AZ33/AZ36</f>
        <v>0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0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0</v>
      </c>
      <c r="BI33" s="46" t="n">
        <f aca="false">BH33/BH36</f>
        <v>0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3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7"/>
      <c r="BX33" s="98"/>
      <c r="BY33" s="83"/>
      <c r="BZ33" s="88" t="str">
        <f aca="false">IF(BW36&gt;BW37,BS36,IF(BW36&lt;BW37,BS37,""))</f>
        <v/>
      </c>
      <c r="CA33" s="89"/>
      <c r="CB33" s="90"/>
      <c r="CC33" s="91"/>
      <c r="CD33" s="47" t="str">
        <f aca="false">IF(CD32="","",CA33*1000+CB33*10+CC33)</f>
        <v/>
      </c>
      <c r="CE33" s="47"/>
      <c r="CK33" s="97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79"/>
      <c r="G34" s="69"/>
      <c r="H34" s="70" t="str">
        <f aca="false">AE10</f>
        <v>Korea Republic</v>
      </c>
      <c r="J34" s="80" t="str">
        <f aca="false">VLOOKUP(2,AD32:AN35,2,FALSE())</f>
        <v>Ecuador</v>
      </c>
      <c r="K34" s="81" t="n">
        <f aca="false">L34+M34+N34</f>
        <v>0</v>
      </c>
      <c r="L34" s="81" t="n">
        <f aca="false">VLOOKUP(2,AD32:AN35,3,FALSE())</f>
        <v>0</v>
      </c>
      <c r="M34" s="81" t="n">
        <f aca="false">VLOOKUP(2,AD32:AN35,4,FALSE())</f>
        <v>0</v>
      </c>
      <c r="N34" s="81" t="n">
        <f aca="false">VLOOKUP(2,AD32:AN35,5,FALSE())</f>
        <v>0</v>
      </c>
      <c r="O34" s="81" t="str">
        <f aca="false">VLOOKUP(2,AD32:AN35,6,FALSE()) &amp; " - " &amp; VLOOKUP(2,AD32:AN35,7,FALSE())</f>
        <v>0 - 0</v>
      </c>
      <c r="P34" s="82" t="n">
        <f aca="false">L34*3+M34</f>
        <v>0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/>
      </c>
      <c r="T34" s="43" t="str">
        <f aca="false">IF(S34="","",IF(F34&lt;G34,H34&amp;"_win",IF(F34&gt;G34,H34&amp;"_lose",H34&amp;"_draw")))</f>
        <v/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str">
        <f aca="false">IF(OR(F34="",G34=""),"",IF(F34&gt;G34,1,IF(F34&lt;G34,-1,0)))</f>
        <v/>
      </c>
      <c r="AD34" s="42" t="n">
        <f aca="false">COUNTIF(AR32:AR35,CONCATENATE("&gt;=",AR34))</f>
        <v>3</v>
      </c>
      <c r="AE34" s="44" t="str">
        <f aca="false">VLOOKUP("Ivory Coast",T,lang,FALSE())</f>
        <v>Ivory Coast</v>
      </c>
      <c r="AF34" s="42" t="n">
        <f aca="false">COUNTIF($S$7:$T$78,"=" &amp; AE34 &amp; "_win")</f>
        <v>0</v>
      </c>
      <c r="AG34" s="42" t="n">
        <f aca="false">COUNTIF($S$7:$T$78,"=" &amp; AE34 &amp; "_draw")</f>
        <v>0</v>
      </c>
      <c r="AH34" s="42" t="n">
        <f aca="false">COUNTIF($S$7:$T$78,"=" &amp; AE34 &amp; "_lose")</f>
        <v>0</v>
      </c>
      <c r="AI34" s="42" t="n">
        <f aca="false">SUMIF($E$7:$E$78,$AE34,$F$7:$F$78) + SUMIF($H$7:$H$78,$AE34,$G$7:$G$78)</f>
        <v>0</v>
      </c>
      <c r="AJ34" s="42" t="n">
        <f aca="false">SUMIF($E$7:$E$78,$AE34,$G$7:$G$78) + SUMIF($H$7:$H$78,$AE34,$F$7:$F$78)</f>
        <v>0</v>
      </c>
      <c r="AL34" s="42" t="n">
        <f aca="false">AI34-AJ34</f>
        <v>0</v>
      </c>
      <c r="AM34" s="42" t="n">
        <f aca="false">AL34-AL36</f>
        <v>0</v>
      </c>
      <c r="AN34" s="42" t="n">
        <f aca="false">AF34*3+AG34</f>
        <v>0</v>
      </c>
      <c r="AO34" s="42" t="n">
        <f aca="false">AN34/AN36*10+BA34</f>
        <v>0</v>
      </c>
      <c r="AP34" s="42" t="n">
        <f aca="false">AO34*10000000+BI34*100+AM34/AM36*10+AI34/AI36*1++IF(AQ34=0,ROW(),AQ34)/2000000</f>
        <v>0.00076649</v>
      </c>
      <c r="AQ34" s="46" t="n">
        <f aca="false">VLOOKUP(AE34,db_fifarank,2,FALSE())</f>
        <v>1532.98</v>
      </c>
      <c r="AR34" s="45" t="n">
        <f aca="false">AP34/AP36</f>
        <v>0.000765827417605699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0</v>
      </c>
      <c r="AW34" s="46" t="n">
        <f aca="false" t="array" ref="AW34:AW34">SUMPRODUCT(($E$7:$E$78=AE34)*($U$7:$U$78)*($G$7:$G$78))+SUMPRODUCT(($H$7:$H$78=AE34)*($U$7:$U$78)*($F$7:$F$78))</f>
        <v>0</v>
      </c>
      <c r="AX34" s="46" t="n">
        <f aca="false">AV34-AW34</f>
        <v>0</v>
      </c>
      <c r="AY34" s="46" t="n">
        <f aca="false">AX34-MIN(AX32:AX35)</f>
        <v>0</v>
      </c>
      <c r="AZ34" s="46" t="n">
        <f aca="false">AT34/AT36*1000+AU34/AU36*100+AY34/AY36*10+AV34/AV36</f>
        <v>0</v>
      </c>
      <c r="BA34" s="46" t="n">
        <f aca="false">AZ34/AZ36</f>
        <v>0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3" t="n">
        <v>81</v>
      </c>
      <c r="BL34" s="84" t="str">
        <f aca="false">AS26</f>
        <v>1D</v>
      </c>
      <c r="BM34" s="85"/>
      <c r="BN34" s="86"/>
      <c r="BO34" s="87"/>
      <c r="BP34" s="47" t="str">
        <f aca="false">IF(OR(BM34="",BM35="",AND(BN34="",BN35&lt;&gt;""),AND(BN35="",BN34&lt;&gt;""),AND(BO34="",BO35&lt;&gt;""),AND(BO35="",BO34&lt;&gt;"")),"",BM34*1000+BN34*10+BO34)</f>
        <v/>
      </c>
      <c r="BQ34" s="47"/>
      <c r="BR34" s="74"/>
      <c r="BS34" s="74"/>
      <c r="BT34" s="74"/>
      <c r="BU34" s="74"/>
      <c r="BV34" s="74"/>
      <c r="BW34" s="97"/>
      <c r="BX34" s="47"/>
      <c r="BY34" s="74"/>
      <c r="BZ34" s="74"/>
      <c r="CA34" s="74"/>
      <c r="CB34" s="74"/>
      <c r="CC34" s="74"/>
      <c r="CD34" s="47"/>
      <c r="CE34" s="47"/>
      <c r="CK34" s="97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79"/>
      <c r="G35" s="69"/>
      <c r="H35" s="70" t="str">
        <f aca="false">AE22</f>
        <v>Haiti</v>
      </c>
      <c r="J35" s="80" t="str">
        <f aca="false">VLOOKUP(3,AD32:AN35,2,FALSE())</f>
        <v>Ivory Coast</v>
      </c>
      <c r="K35" s="81" t="n">
        <f aca="false">L35+M35+N35</f>
        <v>0</v>
      </c>
      <c r="L35" s="81" t="n">
        <f aca="false">VLOOKUP(3,AD32:AN35,3,FALSE())</f>
        <v>0</v>
      </c>
      <c r="M35" s="81" t="n">
        <f aca="false">VLOOKUP(3,AD32:AN35,4,FALSE())</f>
        <v>0</v>
      </c>
      <c r="N35" s="81" t="n">
        <f aca="false">VLOOKUP(3,AD32:AN35,5,FALSE())</f>
        <v>0</v>
      </c>
      <c r="O35" s="81" t="str">
        <f aca="false">VLOOKUP(3,AD32:AN35,6,FALSE()) &amp; " - " &amp; VLOOKUP(3,AD32:AN35,7,FALSE())</f>
        <v>0 - 0</v>
      </c>
      <c r="P35" s="82" t="n">
        <f aca="false">L35*3+M35</f>
        <v>0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/>
      </c>
      <c r="T35" s="43" t="str">
        <f aca="false">IF(S35="","",IF(F35&lt;G35,H35&amp;"_win",IF(F35&gt;G35,H35&amp;"_lose",H35&amp;"_draw")))</f>
        <v/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str">
        <f aca="false">IF(OR(F35="",G35=""),"",IF(F35&gt;G35,1,IF(F35&lt;G35,-1,0)))</f>
        <v/>
      </c>
      <c r="AD35" s="42" t="n">
        <f aca="false">COUNTIF(AR32:AR35,CONCATENATE("&gt;=",AR35))</f>
        <v>2</v>
      </c>
      <c r="AE35" s="44" t="str">
        <f aca="false">VLOOKUP("Ecuador",T,lang,FALSE())</f>
        <v>Ecuador</v>
      </c>
      <c r="AF35" s="42" t="n">
        <f aca="false">COUNTIF($S$7:$T$78,"=" &amp; AE35 &amp; "_win")</f>
        <v>0</v>
      </c>
      <c r="AG35" s="42" t="n">
        <f aca="false">COUNTIF($S$7:$T$78,"=" &amp; AE35 &amp; "_draw")</f>
        <v>0</v>
      </c>
      <c r="AH35" s="42" t="n">
        <f aca="false">COUNTIF($S$7:$T$78,"=" &amp; AE35 &amp; "_lose")</f>
        <v>0</v>
      </c>
      <c r="AI35" s="42" t="n">
        <f aca="false">SUMIF($E$7:$E$78,$AE35,$F$7:$F$78) + SUMIF($H$7:$H$78,$AE35,$G$7:$G$78)</f>
        <v>0</v>
      </c>
      <c r="AJ35" s="42" t="n">
        <f aca="false">SUMIF($E$7:$E$78,$AE35,$G$7:$G$78) + SUMIF($H$7:$H$78,$AE35,$F$7:$F$78)</f>
        <v>0</v>
      </c>
      <c r="AL35" s="42" t="n">
        <f aca="false">AI35-AJ35</f>
        <v>0</v>
      </c>
      <c r="AM35" s="42" t="n">
        <f aca="false">AL35-AL36</f>
        <v>0</v>
      </c>
      <c r="AN35" s="42" t="n">
        <f aca="false">AF35*3+AG35</f>
        <v>0</v>
      </c>
      <c r="AO35" s="42" t="n">
        <f aca="false">AN35/AN36*10+BA35</f>
        <v>0</v>
      </c>
      <c r="AP35" s="42" t="n">
        <f aca="false">AO35*10000000+BI35*100+AM35/AM36*10+AI35/AI36*1++IF(AQ35=0,ROW(),AQ35)/2000000</f>
        <v>0.00079739</v>
      </c>
      <c r="AQ35" s="46" t="n">
        <f aca="false">VLOOKUP(AE35,db_fifarank,2,FALSE())</f>
        <v>1594.78</v>
      </c>
      <c r="AR35" s="45" t="n">
        <f aca="false">AP35/AP36</f>
        <v>0.000796700706499247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0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0</v>
      </c>
      <c r="AZ35" s="46" t="n">
        <f aca="false">AT35/AT36*1000+AU35/AU36*100+AY35/AY36*10+AV35/AV36</f>
        <v>0</v>
      </c>
      <c r="BA35" s="46" t="n">
        <f aca="false">AZ35/AZ36</f>
        <v>0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0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0</v>
      </c>
      <c r="BI35" s="46" t="n">
        <f aca="false">BH35/BH36</f>
        <v>0</v>
      </c>
      <c r="BK35" s="83"/>
      <c r="BL35" s="88" t="str">
        <f aca="false">IF(group_round_completed,VLOOKUP('3rd places'!F3,AK80:AS91,9,FALSE()),"3rd Group B/E/F/I/J")</f>
        <v>3rd Group B/E/F/I/J</v>
      </c>
      <c r="BM35" s="89"/>
      <c r="BN35" s="90"/>
      <c r="BO35" s="91"/>
      <c r="BP35" s="92" t="str">
        <f aca="false">IF(BP34="","",BM35*1000+BN35*10+BO35)</f>
        <v/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3"/>
      <c r="BW35" s="97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7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79"/>
      <c r="G36" s="69"/>
      <c r="H36" s="70" t="str">
        <f aca="false">AE21</f>
        <v>Morocco</v>
      </c>
      <c r="J36" s="94" t="str">
        <f aca="false">VLOOKUP(4,AD32:AN35,2,FALSE())</f>
        <v>Curaçao</v>
      </c>
      <c r="K36" s="95" t="n">
        <f aca="false">L36+M36+N36</f>
        <v>0</v>
      </c>
      <c r="L36" s="95" t="n">
        <f aca="false">VLOOKUP(4,AD32:AN35,3,FALSE())</f>
        <v>0</v>
      </c>
      <c r="M36" s="95" t="n">
        <f aca="false">VLOOKUP(4,AD32:AN35,4,FALSE())</f>
        <v>0</v>
      </c>
      <c r="N36" s="95" t="n">
        <f aca="false">VLOOKUP(4,AD32:AN35,5,FALSE())</f>
        <v>0</v>
      </c>
      <c r="O36" s="95" t="str">
        <f aca="false">VLOOKUP(4,AD32:AN35,6,FALSE()) &amp; " - " &amp; VLOOKUP(4,AD32:AN35,7,FALSE())</f>
        <v>0 - 0</v>
      </c>
      <c r="P36" s="96" t="n">
        <f aca="false">L36*3+M36</f>
        <v>0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/>
      </c>
      <c r="T36" s="43" t="str">
        <f aca="false">IF(S36="","",IF(F36&lt;G36,H36&amp;"_win",IF(F36&gt;G36,H36&amp;"_lose",H36&amp;"_draw")))</f>
        <v/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str">
        <f aca="false">IF(OR(F36="",G36=""),"",IF(F36&gt;G36,1,IF(F36&lt;G36,-1,0)))</f>
        <v/>
      </c>
      <c r="AF36" s="42" t="n">
        <f aca="false">MAX(AF32:AF35)-MIN(AF32:AF35)+1</f>
        <v>1</v>
      </c>
      <c r="AG36" s="42" t="n">
        <f aca="false">MAX(AG32:AG35)-MIN(AG32:AG35)+1</f>
        <v>1</v>
      </c>
      <c r="AH36" s="42" t="n">
        <f aca="false">MAX(AH32:AH35)-MIN(AH32:AH35)+1</f>
        <v>1</v>
      </c>
      <c r="AI36" s="42" t="n">
        <f aca="false">MAX(AI32:AI35)+1</f>
        <v>1</v>
      </c>
      <c r="AL36" s="42" t="n">
        <f aca="false">MIN(AL32:AL35)</f>
        <v>0</v>
      </c>
      <c r="AM36" s="42" t="n">
        <f aca="false">MAX(AM32:AM35)+1</f>
        <v>1</v>
      </c>
      <c r="AN36" s="42" t="n">
        <f aca="false">MAX(AN32:AN35)+1</f>
        <v>1</v>
      </c>
      <c r="AO36" s="42" t="n">
        <f aca="false">MAX(AO32:AO35)+1</f>
        <v>1</v>
      </c>
      <c r="AP36" s="42" t="n">
        <f aca="false">MAX(AP32:AP35)+1</f>
        <v>1.000865185</v>
      </c>
      <c r="AT36" s="46" t="n">
        <f aca="false">MAX(AT32:AT35)-MIN(AT32:AT35)+1</f>
        <v>1</v>
      </c>
      <c r="AU36" s="46" t="n">
        <f aca="false">MAX(AU32:AU35)-MIN(AU32:AU35)+1</f>
        <v>1</v>
      </c>
      <c r="AV36" s="46" t="n">
        <f aca="false">MAX(AV32:AV35)-MIN(AV32:AV35)+1</f>
        <v>1</v>
      </c>
      <c r="AW36" s="46" t="n">
        <f aca="false">MAX(AW32:AW35)-MIN(AW32:AW35)+1</f>
        <v>1</v>
      </c>
      <c r="AY36" s="46" t="n">
        <f aca="false">MAX(AY32:AY35)-MIN(AY32:AY35)+1</f>
        <v>1</v>
      </c>
      <c r="AZ36" s="46" t="n">
        <f aca="false">MAX(AZ32:AZ35)+1</f>
        <v>1</v>
      </c>
      <c r="BB36" s="46" t="n">
        <f aca="false">MAX(BB32:BB35)-MIN(BB32:BB35)+1</f>
        <v>1</v>
      </c>
      <c r="BC36" s="46" t="n">
        <f aca="false">MAX(BC32:BC35)-MIN(BC32:BC35)+1</f>
        <v>1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1</v>
      </c>
      <c r="BK36" s="74"/>
      <c r="BL36" s="74"/>
      <c r="BM36" s="74"/>
      <c r="BN36" s="74"/>
      <c r="BO36" s="74"/>
      <c r="BP36" s="97"/>
      <c r="BQ36" s="47"/>
      <c r="BR36" s="83" t="n">
        <v>94</v>
      </c>
      <c r="BS36" s="84" t="str">
        <f aca="false">IF(BP34&gt;BP35,BL34,IF(BP34&lt;BP35,BL35,""))</f>
        <v/>
      </c>
      <c r="BT36" s="85"/>
      <c r="BU36" s="86"/>
      <c r="BV36" s="87"/>
      <c r="BW36" s="100" t="str">
        <f aca="false">IF(OR(BT36="",BT37="",AND(BU36="",BU37&lt;&gt;""),AND(BU37="",BU36&lt;&gt;""),AND(BV36="",BV37&lt;&gt;""),AND(BV37="",BV36&lt;&gt;"")),"",BT36*1000+BU36*10+BV36)</f>
        <v/>
      </c>
      <c r="BX36" s="47"/>
      <c r="BY36" s="74"/>
      <c r="BZ36" s="74"/>
      <c r="CA36" s="74"/>
      <c r="CB36" s="74"/>
      <c r="CC36" s="74"/>
      <c r="CD36" s="47"/>
      <c r="CE36" s="47"/>
      <c r="CK36" s="97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3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79"/>
      <c r="G37" s="69"/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/>
      </c>
      <c r="T37" s="43" t="str">
        <f aca="false">IF(S37="","",IF(F37&lt;G37,H37&amp;"_win",IF(F37&gt;G37,H37&amp;"_lose",H37&amp;"_draw")))</f>
        <v/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str">
        <f aca="false">IF(OR(F37="",G37=""),"",IF(F37&gt;G37,1,IF(F37&lt;G37,-1,0)))</f>
        <v/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3"/>
      <c r="BP37" s="97" t="n">
        <f aca="false">DATE(2026,7,1)+TIME(9,0,0)+gmt_delta</f>
        <v>46204.6666666667</v>
      </c>
      <c r="BQ37" s="98"/>
      <c r="BR37" s="83"/>
      <c r="BS37" s="88" t="str">
        <f aca="false">IF(BP38&gt;BP39,BL38,IF(BP38&lt;BP39,BL39,""))</f>
        <v/>
      </c>
      <c r="BT37" s="89"/>
      <c r="BU37" s="90"/>
      <c r="BV37" s="91"/>
      <c r="BW37" s="47" t="str">
        <f aca="false">IF(BW36="","",BT37*1000+BU37*10+BV37)</f>
        <v/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7"/>
      <c r="CL37" s="47"/>
      <c r="CM37" s="83" t="n">
        <v>104</v>
      </c>
      <c r="CN37" s="84" t="str">
        <f aca="false">IF(CK23&gt;CK24,CG23,IF(CK23&lt;CK24,CG24,""))</f>
        <v/>
      </c>
      <c r="CO37" s="85"/>
      <c r="CP37" s="86"/>
      <c r="CQ37" s="87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79"/>
      <c r="G38" s="69"/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/>
      </c>
      <c r="T38" s="43" t="str">
        <f aca="false">IF(S38="","",IF(F38&lt;G38,H38&amp;"_win",IF(F38&gt;G38,H38&amp;"_lose",H38&amp;"_draw")))</f>
        <v/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str">
        <f aca="false">IF(OR(F38="",G38=""),"",IF(F38&gt;G38,1,IF(F38&lt;G38,-1,0)))</f>
        <v/>
      </c>
      <c r="AD38" s="42" t="n">
        <f aca="false">COUNTIF(AR38:AR41,CONCATENATE("&gt;=",AR38))</f>
        <v>1</v>
      </c>
      <c r="AE38" s="44" t="str">
        <f aca="false">VLOOKUP("Netherlands",T,lang,FALSE())</f>
        <v>Netherlands</v>
      </c>
      <c r="AF38" s="42" t="n">
        <f aca="false">COUNTIF($S$7:$T$78,"=" &amp; AE38 &amp; "_win")</f>
        <v>0</v>
      </c>
      <c r="AG38" s="42" t="n">
        <f aca="false">COUNTIF($S$7:$T$78,"=" &amp; AE38 &amp; "_draw")</f>
        <v>0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0</v>
      </c>
      <c r="AJ38" s="42" t="n">
        <f aca="false">SUMIF($E$7:$E$78,$AE38,$G$7:$G$78) + SUMIF($H$7:$H$78,$AE38,$F$7:$F$78)</f>
        <v>0</v>
      </c>
      <c r="AL38" s="42" t="n">
        <f aca="false">AI38-AJ38</f>
        <v>0</v>
      </c>
      <c r="AM38" s="42" t="n">
        <f aca="false">AL38-AL42</f>
        <v>0</v>
      </c>
      <c r="AN38" s="42" t="n">
        <f aca="false">AF38*3+AG38</f>
        <v>0</v>
      </c>
      <c r="AO38" s="42" t="n">
        <f aca="false">AN38/AN42*10+BA38</f>
        <v>0</v>
      </c>
      <c r="AP38" s="42" t="n">
        <f aca="false">AO38*10000000+BI38*100+AM38/AM42*10+AI38/AI42*1++IF(AQ38=0,ROW(),AQ38)/2000000</f>
        <v>0.000878935</v>
      </c>
      <c r="AQ38" s="46" t="n">
        <f aca="false">VLOOKUP(AE38,db_fifarank,2,FALSE())</f>
        <v>1757.87</v>
      </c>
      <c r="AR38" s="45" t="n">
        <f aca="false">AP38/AP42</f>
        <v>0.000878163151670287</v>
      </c>
      <c r="AS38" s="45" t="str">
        <f aca="false">IF(SUM(AF38:AH41)=12,J39,"1F")</f>
        <v>1F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0</v>
      </c>
      <c r="AV38" s="46" t="n">
        <f aca="false" t="array" ref="AV38:AV38">SUMPRODUCT(($E$7:$E$78=AE38)*($U$7:$U$78)*($F$7:$F$78))+SUMPRODUCT(($H$7:$H$78=AE38)*($U$7:$U$78)*($G$7:$G$78))</f>
        <v>0</v>
      </c>
      <c r="AW38" s="46" t="n">
        <f aca="false" t="array" ref="AW38:AW38">SUMPRODUCT(($E$7:$E$78=AE38)*($U$7:$U$78)*($G$7:$G$78))+SUMPRODUCT(($H$7:$H$78=AE38)*($U$7:$U$78)*($F$7:$F$78))</f>
        <v>0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0</v>
      </c>
      <c r="BA38" s="46" t="n">
        <f aca="false">AZ38/AZ42</f>
        <v>0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0</v>
      </c>
      <c r="BD38" s="46" t="n">
        <f aca="false" t="array" ref="BD38:BD38">SUMPRODUCT(($E$7:$E$78=AE38)*($X$7:$X$78)*($F$7:$F$78))+SUMPRODUCT(($H$7:$H$78=AE38)*($X$7:$X$78)*($G$7:$G$78))</f>
        <v>0</v>
      </c>
      <c r="BE38" s="46" t="n">
        <f aca="false" t="array" ref="BE38:BE38">SUMPRODUCT(($E$7:$E$78=AE38)*($X$7:$X$78)*($G$7:$G$78))+SUMPRODUCT(($H$7:$H$78=AE38)*($X$7:$X$78)*($F$7:$F$78))</f>
        <v>0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0</v>
      </c>
      <c r="BI38" s="46" t="n">
        <f aca="false">BH38/BH42</f>
        <v>0</v>
      </c>
      <c r="BK38" s="83" t="n">
        <v>82</v>
      </c>
      <c r="BL38" s="84" t="str">
        <f aca="false">AS44</f>
        <v>1G</v>
      </c>
      <c r="BM38" s="85"/>
      <c r="BN38" s="86"/>
      <c r="BO38" s="87"/>
      <c r="BP38" s="100" t="str">
        <f aca="false">IF(OR(BM38="",BM39="",AND(BN38="",BN39&lt;&gt;""),AND(BN39="",BN38&lt;&gt;""),AND(BO38="",BO39&lt;&gt;""),AND(BO39="",BO38&lt;&gt;"")),"",BM38*1000+BN38*10+BO38)</f>
        <v/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8"/>
      <c r="CM38" s="83"/>
      <c r="CN38" s="88" t="str">
        <f aca="false">IF(CK55&gt;CK56,CG55,IF(CK55&lt;CK56,CG56,""))</f>
        <v/>
      </c>
      <c r="CO38" s="89"/>
      <c r="CP38" s="90"/>
      <c r="CQ38" s="91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79"/>
      <c r="G39" s="69"/>
      <c r="H39" s="70" t="str">
        <f aca="false">AE34</f>
        <v>Ivory Coast</v>
      </c>
      <c r="J39" s="75" t="str">
        <f aca="false">VLOOKUP(1,AD38:AN41,2,FALSE())</f>
        <v>Netherlands</v>
      </c>
      <c r="K39" s="76" t="n">
        <f aca="false">L39+M39+N39</f>
        <v>0</v>
      </c>
      <c r="L39" s="76" t="n">
        <f aca="false">VLOOKUP(1,AD38:AN41,3,FALSE())</f>
        <v>0</v>
      </c>
      <c r="M39" s="76" t="n">
        <f aca="false">VLOOKUP(1,AD38:AN41,4,FALSE())</f>
        <v>0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0 - 0</v>
      </c>
      <c r="P39" s="77" t="n">
        <f aca="false">L39*3+M39</f>
        <v>0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/>
      </c>
      <c r="T39" s="43" t="str">
        <f aca="false">IF(S39="","",IF(F39&lt;G39,H39&amp;"_win",IF(F39&gt;G39,H39&amp;"_lose",H39&amp;"_draw")))</f>
        <v/>
      </c>
      <c r="U39" s="42" t="n">
        <f aca="false">IF(S39="",0,IF(VLOOKUP(E39,$AE$8:$AN$77,10,FALSE())=VLOOKUP(H39,$AE$8:$AN$77,10,FALSE()),1,0))</f>
        <v>0</v>
      </c>
      <c r="V39" s="42" t="n">
        <f aca="false">U39*F39</f>
        <v>0</v>
      </c>
      <c r="W39" s="42" t="n">
        <f aca="false">U39*G39</f>
        <v>0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str">
        <f aca="false">IF(OR(F39="",G39=""),"",IF(F39&gt;G39,1,IF(F39&lt;G39,-1,0)))</f>
        <v/>
      </c>
      <c r="AD39" s="42" t="n">
        <f aca="false">COUNTIF(AR38:AR41,CONCATENATE("&gt;=",AR39))</f>
        <v>2</v>
      </c>
      <c r="AE39" s="44" t="str">
        <f aca="false">VLOOKUP("Japan",T,lang,FALSE())</f>
        <v>Japan</v>
      </c>
      <c r="AF39" s="42" t="n">
        <f aca="false">COUNTIF($S$7:$T$78,"=" &amp; AE39 &amp; "_win")</f>
        <v>0</v>
      </c>
      <c r="AG39" s="42" t="n">
        <f aca="false">COUNTIF($S$7:$T$78,"=" &amp; AE39 &amp; "_draw")</f>
        <v>0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0</v>
      </c>
      <c r="AJ39" s="42" t="n">
        <f aca="false">SUMIF($E$7:$E$78,$AE39,$G$7:$G$78) + SUMIF($H$7:$H$78,$AE39,$F$7:$F$78)</f>
        <v>0</v>
      </c>
      <c r="AL39" s="42" t="n">
        <f aca="false">AI39-AJ39</f>
        <v>0</v>
      </c>
      <c r="AM39" s="42" t="n">
        <f aca="false">AL39-AL42</f>
        <v>0</v>
      </c>
      <c r="AN39" s="42" t="n">
        <f aca="false">AF39*3+AG39</f>
        <v>0</v>
      </c>
      <c r="AO39" s="42" t="n">
        <f aca="false">AN39/AN42*10+BA39</f>
        <v>0</v>
      </c>
      <c r="AP39" s="42" t="n">
        <f aca="false">AO39*10000000+BI39*100+AM39/AM42*10+AI39/AI42*1++IF(AQ39=0,ROW(),AQ39)/2000000</f>
        <v>0.000830215</v>
      </c>
      <c r="AQ39" s="46" t="n">
        <f aca="false">VLOOKUP(AE39,db_fifarank,2,FALSE())</f>
        <v>1660.43</v>
      </c>
      <c r="AR39" s="45" t="n">
        <f aca="false">AP39/AP42</f>
        <v>0.000829485935779036</v>
      </c>
      <c r="AS39" s="45" t="str">
        <f aca="false">IF(SUM(AF38:AH41)=12,J40,"2F")</f>
        <v>2F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0</v>
      </c>
      <c r="AV39" s="46" t="n">
        <f aca="false" t="array" ref="AV39:AV39">SUMPRODUCT(($E$7:$E$78=AE39)*($U$7:$U$78)*($F$7:$F$78))+SUMPRODUCT(($H$7:$H$78=AE39)*($U$7:$U$78)*($G$7:$G$78))</f>
        <v>0</v>
      </c>
      <c r="AW39" s="46" t="n">
        <f aca="false" t="array" ref="AW39:AW39">SUMPRODUCT(($E$7:$E$78=AE39)*($U$7:$U$78)*($G$7:$G$78))+SUMPRODUCT(($H$7:$H$78=AE39)*($U$7:$U$78)*($F$7:$F$78))</f>
        <v>0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0</v>
      </c>
      <c r="BA39" s="46" t="n">
        <f aca="false">AZ39/AZ42</f>
        <v>0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0</v>
      </c>
      <c r="BD39" s="46" t="n">
        <f aca="false" t="array" ref="BD39:BD39">SUMPRODUCT(($E$7:$E$78=AE39)*($X$7:$X$78)*($F$7:$F$78))+SUMPRODUCT(($H$7:$H$78=AE39)*($X$7:$X$78)*($G$7:$G$78))</f>
        <v>0</v>
      </c>
      <c r="BE39" s="46" t="n">
        <f aca="false" t="array" ref="BE39:BE39">SUMPRODUCT(($E$7:$E$78=AE39)*($X$7:$X$78)*($G$7:$G$78))+SUMPRODUCT(($H$7:$H$78=AE39)*($X$7:$X$78)*($F$7:$F$78))</f>
        <v>0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0</v>
      </c>
      <c r="BI39" s="46" t="n">
        <f aca="false">BH39/BH42</f>
        <v>0</v>
      </c>
      <c r="BK39" s="83"/>
      <c r="BL39" s="88" t="str">
        <f aca="false">IF(group_round_completed,VLOOKUP('3rd places'!H3,AK80:AS91,9,FALSE()),"3rd Group A/E/H/I/J")</f>
        <v>3rd Group A/E/H/I/J</v>
      </c>
      <c r="BM39" s="89"/>
      <c r="BN39" s="90"/>
      <c r="BO39" s="91"/>
      <c r="BP39" s="47" t="str">
        <f aca="false">IF(BP38="","",BM39*1000+BN39*10+BO39)</f>
        <v/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7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79"/>
      <c r="G40" s="69"/>
      <c r="H40" s="70" t="str">
        <f aca="false">AE33</f>
        <v>Curaçao</v>
      </c>
      <c r="J40" s="80" t="str">
        <f aca="false">VLOOKUP(2,AD38:AN41,2,FALSE())</f>
        <v>Japan</v>
      </c>
      <c r="K40" s="81" t="n">
        <f aca="false">L40+M40+N40</f>
        <v>0</v>
      </c>
      <c r="L40" s="81" t="n">
        <f aca="false">VLOOKUP(2,AD38:AN41,3,FALSE())</f>
        <v>0</v>
      </c>
      <c r="M40" s="81" t="n">
        <f aca="false">VLOOKUP(2,AD38:AN41,4,FALSE())</f>
        <v>0</v>
      </c>
      <c r="N40" s="81" t="n">
        <f aca="false">VLOOKUP(2,AD38:AN41,5,FALSE())</f>
        <v>0</v>
      </c>
      <c r="O40" s="81" t="str">
        <f aca="false">VLOOKUP(2,AD38:AN41,6,FALSE()) &amp; " - " &amp; VLOOKUP(2,AD38:AN41,7,FALSE())</f>
        <v>0 - 0</v>
      </c>
      <c r="P40" s="82" t="n">
        <f aca="false">L40*3+M40</f>
        <v>0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/>
      </c>
      <c r="T40" s="43" t="str">
        <f aca="false">IF(S40="","",IF(F40&lt;G40,H40&amp;"_win",IF(F40&gt;G40,H40&amp;"_lose",H40&amp;"_draw")))</f>
        <v/>
      </c>
      <c r="U40" s="42" t="n">
        <f aca="false">IF(S40="",0,IF(VLOOKUP(E40,$AE$8:$AN$77,10,FALSE())=VLOOKUP(H40,$AE$8:$AN$77,10,FALSE()),1,0))</f>
        <v>0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0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str">
        <f aca="false">IF(OR(F40="",G40=""),"",IF(F40&gt;G40,1,IF(F40&lt;G40,-1,0)))</f>
        <v/>
      </c>
      <c r="AD40" s="42" t="n">
        <f aca="false">COUNTIF(AR38:AR41,CONCATENATE("&gt;=",AR40))</f>
        <v>3</v>
      </c>
      <c r="AE40" s="44" t="str">
        <f aca="false">VLOOKUP("Sweden",T,lang,FALSE())</f>
        <v>Sweden</v>
      </c>
      <c r="AF40" s="42" t="n">
        <f aca="false">COUNTIF($S$7:$T$78,"=" &amp; AE40 &amp; "_win")</f>
        <v>0</v>
      </c>
      <c r="AG40" s="42" t="n">
        <f aca="false">COUNTIF($S$7:$T$78,"=" &amp; AE40 &amp; "_draw")</f>
        <v>0</v>
      </c>
      <c r="AH40" s="42" t="n">
        <f aca="false">COUNTIF($S$7:$T$78,"=" &amp; AE40 &amp; "_lose")</f>
        <v>0</v>
      </c>
      <c r="AI40" s="42" t="n">
        <f aca="false">SUMIF($E$7:$E$78,$AE40,$F$7:$F$78) + SUMIF($H$7:$H$78,$AE40,$G$7:$G$78)</f>
        <v>0</v>
      </c>
      <c r="AJ40" s="42" t="n">
        <f aca="false">SUMIF($E$7:$E$78,$AE40,$G$7:$G$78) + SUMIF($H$7:$H$78,$AE40,$F$7:$F$78)</f>
        <v>0</v>
      </c>
      <c r="AL40" s="42" t="n">
        <f aca="false">AI40-AJ40</f>
        <v>0</v>
      </c>
      <c r="AM40" s="42" t="n">
        <f aca="false">AL40-AL42</f>
        <v>0</v>
      </c>
      <c r="AN40" s="42" t="n">
        <f aca="false">AF40*3+AG40</f>
        <v>0</v>
      </c>
      <c r="AO40" s="42" t="n">
        <f aca="false">AN40/AN42*10+BA40</f>
        <v>0</v>
      </c>
      <c r="AP40" s="42" t="n">
        <f aca="false">AO40*10000000+BI40*100+AM40/AM42*10+AI40/AI42*1++IF(AQ40=0,ROW(),AQ40)/2000000</f>
        <v>0.000757385</v>
      </c>
      <c r="AQ40" s="46" t="n">
        <f aca="false">VLOOKUP(AE40,db_fifarank,2,FALSE())</f>
        <v>1514.77</v>
      </c>
      <c r="AR40" s="45" t="n">
        <f aca="false">AP40/AP42</f>
        <v>0.000756719892401372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7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79"/>
      <c r="G41" s="69"/>
      <c r="H41" s="70" t="str">
        <f aca="false">AE40</f>
        <v>Sweden</v>
      </c>
      <c r="J41" s="80" t="str">
        <f aca="false">VLOOKUP(3,AD38:AN41,2,FALSE())</f>
        <v>Sweden</v>
      </c>
      <c r="K41" s="81" t="n">
        <f aca="false">L41+M41+N41</f>
        <v>0</v>
      </c>
      <c r="L41" s="81" t="n">
        <f aca="false">VLOOKUP(3,AD38:AN41,3,FALSE())</f>
        <v>0</v>
      </c>
      <c r="M41" s="81" t="n">
        <f aca="false">VLOOKUP(3,AD38:AN41,4,FALSE())</f>
        <v>0</v>
      </c>
      <c r="N41" s="81" t="n">
        <f aca="false">VLOOKUP(3,AD38:AN41,5,FALSE())</f>
        <v>0</v>
      </c>
      <c r="O41" s="81" t="str">
        <f aca="false">VLOOKUP(3,AD38:AN41,6,FALSE()) &amp; " - " &amp; VLOOKUP(3,AD38:AN41,7,FALSE())</f>
        <v>0 - 0</v>
      </c>
      <c r="P41" s="82" t="n">
        <f aca="false">L41*3+M41</f>
        <v>0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/>
      </c>
      <c r="T41" s="43" t="str">
        <f aca="false">IF(S41="","",IF(F41&lt;G41,H41&amp;"_win",IF(F41&gt;G41,H41&amp;"_lose",H41&amp;"_draw")))</f>
        <v/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str">
        <f aca="false">IF(OR(F41="",G41=""),"",IF(F41&gt;G41,1,IF(F41&lt;G41,-1,0)))</f>
        <v/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0</v>
      </c>
      <c r="AI41" s="42" t="n">
        <f aca="false">SUMIF($E$7:$E$78,$AE41,$F$7:$F$78) + SUMIF($H$7:$H$78,$AE41,$G$7:$G$78)</f>
        <v>0</v>
      </c>
      <c r="AJ41" s="42" t="n">
        <f aca="false">SUMIF($E$7:$E$78,$AE41,$G$7:$G$78) + SUMIF($H$7:$H$78,$AE41,$F$7:$F$78)</f>
        <v>0</v>
      </c>
      <c r="AL41" s="42" t="n">
        <f aca="false">AI41-AJ41</f>
        <v>0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0.000741525</v>
      </c>
      <c r="AQ41" s="46" t="n">
        <f aca="false">VLOOKUP(AE41,db_fifarank,2,FALSE())</f>
        <v>1483.05</v>
      </c>
      <c r="AR41" s="45" t="n">
        <f aca="false">AP41/AP42</f>
        <v>0.000740873820068958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3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7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79"/>
      <c r="G42" s="69"/>
      <c r="H42" s="70" t="str">
        <f aca="false">AE39</f>
        <v>Japan</v>
      </c>
      <c r="J42" s="94" t="str">
        <f aca="false">VLOOKUP(4,AD38:AN41,2,FALSE())</f>
        <v>Tunisia</v>
      </c>
      <c r="K42" s="95" t="n">
        <f aca="false">L42+M42+N42</f>
        <v>0</v>
      </c>
      <c r="L42" s="95" t="n">
        <f aca="false">VLOOKUP(4,AD38:AN41,3,FALSE())</f>
        <v>0</v>
      </c>
      <c r="M42" s="95" t="n">
        <f aca="false">VLOOKUP(4,AD38:AN41,4,FALSE())</f>
        <v>0</v>
      </c>
      <c r="N42" s="95" t="n">
        <f aca="false">VLOOKUP(4,AD38:AN41,5,FALSE())</f>
        <v>0</v>
      </c>
      <c r="O42" s="95" t="str">
        <f aca="false">VLOOKUP(4,AD38:AN41,6,FALSE()) &amp; " - " &amp; VLOOKUP(4,AD38:AN41,7,FALSE())</f>
        <v>0 - 0</v>
      </c>
      <c r="P42" s="96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/>
      </c>
      <c r="T42" s="43" t="str">
        <f aca="false">IF(S42="","",IF(F42&lt;G42,H42&amp;"_win",IF(F42&gt;G42,H42&amp;"_lose",H42&amp;"_draw")))</f>
        <v/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str">
        <f aca="false">IF(OR(F42="",G42=""),"",IF(F42&gt;G42,1,IF(F42&lt;G42,-1,0)))</f>
        <v/>
      </c>
      <c r="AF42" s="42" t="n">
        <f aca="false">MAX(AF38:AF41)-MIN(AF38:AF41)+1</f>
        <v>1</v>
      </c>
      <c r="AG42" s="42" t="n">
        <f aca="false">MAX(AG38:AG41)-MIN(AG38:AG41)+1</f>
        <v>1</v>
      </c>
      <c r="AH42" s="42" t="n">
        <f aca="false">MAX(AH38:AH41)-MIN(AH38:AH41)+1</f>
        <v>1</v>
      </c>
      <c r="AI42" s="42" t="n">
        <f aca="false">MAX(AI38:AI41)+1</f>
        <v>1</v>
      </c>
      <c r="AL42" s="42" t="n">
        <f aca="false">MIN(AL38:AL41)</f>
        <v>0</v>
      </c>
      <c r="AM42" s="42" t="n">
        <f aca="false">MAX(AM38:AM41)+1</f>
        <v>1</v>
      </c>
      <c r="AN42" s="42" t="n">
        <f aca="false">MAX(AN38:AN41)+1</f>
        <v>1</v>
      </c>
      <c r="AO42" s="42" t="n">
        <f aca="false">MAX(AO38:AO41)+1</f>
        <v>1</v>
      </c>
      <c r="AP42" s="42" t="n">
        <f aca="false">MAX(AP38:AP41)+1</f>
        <v>1.000878935</v>
      </c>
      <c r="AT42" s="46" t="n">
        <f aca="false">MAX(AT38:AT41)-MIN(AT38:AT41)+1</f>
        <v>1</v>
      </c>
      <c r="AU42" s="46" t="n">
        <f aca="false">MAX(AU38:AU41)-MIN(AU38:AU41)+1</f>
        <v>1</v>
      </c>
      <c r="AV42" s="46" t="n">
        <f aca="false">MAX(AV38:AV41)-MIN(AV38:AV41)+1</f>
        <v>1</v>
      </c>
      <c r="AW42" s="46" t="n">
        <f aca="false">MAX(AW38:AW41)-MIN(AW38:AW41)+1</f>
        <v>1</v>
      </c>
      <c r="AY42" s="46" t="n">
        <f aca="false">MAX(AY38:AY41)-MIN(AY38:AY41)+1</f>
        <v>1</v>
      </c>
      <c r="AZ42" s="46" t="n">
        <f aca="false">MAX(AZ38:AZ41)+1</f>
        <v>1</v>
      </c>
      <c r="BB42" s="46" t="n">
        <f aca="false">MAX(BB38:BB41)-MIN(BB38:BB41)+1</f>
        <v>1</v>
      </c>
      <c r="BC42" s="46" t="n">
        <f aca="false">MAX(BC38:BC41)-MIN(BC38:BC41)+1</f>
        <v>1</v>
      </c>
      <c r="BD42" s="46" t="n">
        <f aca="false">MAX(BD38:BD41)-MIN(BD38:BD41)+1</f>
        <v>1</v>
      </c>
      <c r="BE42" s="46" t="n">
        <f aca="false">MAX(BE38:BE41)-MIN(BE38:BE41)+1</f>
        <v>1</v>
      </c>
      <c r="BG42" s="46" t="n">
        <f aca="false">MAX(BG38:BG41)-MIN(BG38:BG41)+1</f>
        <v>1</v>
      </c>
      <c r="BH42" s="46" t="n">
        <f aca="false">MAX(BH38:BH41)+1</f>
        <v>1</v>
      </c>
      <c r="BK42" s="83" t="n">
        <v>76</v>
      </c>
      <c r="BL42" s="84" t="str">
        <f aca="false">AS20</f>
        <v>1C</v>
      </c>
      <c r="BM42" s="85"/>
      <c r="BN42" s="86"/>
      <c r="BO42" s="87"/>
      <c r="BP42" s="47" t="str">
        <f aca="false">IF(OR(BM42="",BM43="",AND(BN42="",BN43&lt;&gt;""),AND(BN43="",BN42&lt;&gt;""),AND(BO42="",BO43&lt;&gt;""),AND(BO43="",BO42&lt;&gt;"")),"",BM42*1000+BN42*10+BO42)</f>
        <v/>
      </c>
      <c r="BQ42" s="47"/>
      <c r="BR42" s="74"/>
      <c r="BS42" s="74"/>
      <c r="BT42" s="74"/>
      <c r="BU42" s="74"/>
      <c r="BV42" s="74"/>
      <c r="BW42" s="47"/>
      <c r="CK42" s="97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79"/>
      <c r="G43" s="69"/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/>
      </c>
      <c r="T43" s="43" t="str">
        <f aca="false">IF(S43="","",IF(F43&lt;G43,H43&amp;"_win",IF(F43&gt;G43,H43&amp;"_lose",H43&amp;"_draw")))</f>
        <v/>
      </c>
      <c r="U43" s="42" t="n">
        <f aca="false">IF(S43="",0,IF(VLOOKUP(E43,$AE$8:$AN$77,10,FALSE())=VLOOKUP(H43,$AE$8:$AN$77,10,FALSE()),1,0))</f>
        <v>0</v>
      </c>
      <c r="V43" s="42" t="n">
        <f aca="false">U43*F43</f>
        <v>0</v>
      </c>
      <c r="W43" s="42" t="n">
        <f aca="false">U43*G43</f>
        <v>0</v>
      </c>
      <c r="X43" s="42" t="n">
        <f aca="false">IF(S43="",0,IF(VLOOKUP(E43,$AE$8:$AO$77,11,FALSE())=VLOOKUP(H43,$AE$8:$AO$77,11,FALSE()),1,0))</f>
        <v>0</v>
      </c>
      <c r="Y43" s="42" t="n">
        <f aca="false">X43*F43</f>
        <v>0</v>
      </c>
      <c r="Z43" s="42" t="n">
        <f aca="false">X43*G43</f>
        <v>0</v>
      </c>
      <c r="AA43" s="42" t="n">
        <f aca="false">IF(OR(E43=my_team,H43=my_team),1,IF(INT(MATCH(E43,$AE$8:$AE$78,0)/6)=$AA$6,1,0))</f>
        <v>0</v>
      </c>
      <c r="AB43" s="42" t="str">
        <f aca="false">IF(OR(F43="",G43=""),"",IF(F43&gt;G43,1,IF(F43&lt;G43,-1,0)))</f>
        <v/>
      </c>
      <c r="BK43" s="83"/>
      <c r="BL43" s="88" t="str">
        <f aca="false">AS39</f>
        <v>2F</v>
      </c>
      <c r="BM43" s="89"/>
      <c r="BN43" s="90"/>
      <c r="BO43" s="91"/>
      <c r="BP43" s="92" t="str">
        <f aca="false">IF(BP42="","",BM43*1000+BN43*10+BO43)</f>
        <v/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3"/>
      <c r="BW43" s="47" t="n">
        <f aca="false">DATE(2026,7,5)+TIME(9,0,0)+gmt_delta</f>
        <v>46208.6666666667</v>
      </c>
      <c r="CK43" s="97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79"/>
      <c r="G44" s="69"/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/>
      </c>
      <c r="T44" s="43" t="str">
        <f aca="false">IF(S44="","",IF(F44&lt;G44,H44&amp;"_win",IF(F44&gt;G44,H44&amp;"_lose",H44&amp;"_draw")))</f>
        <v/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str">
        <f aca="false">IF(OR(F44="",G44=""),"",IF(F44&gt;G44,1,IF(F44&lt;G44,-1,0)))</f>
        <v/>
      </c>
      <c r="AD44" s="42" t="n">
        <f aca="false">COUNTIF(AR44:AR47,CONCATENATE("&gt;=",AR44))</f>
        <v>1</v>
      </c>
      <c r="AE44" s="44" t="str">
        <f aca="false">VLOOKUP("Belgium",T,lang,FALSE())</f>
        <v>Belgium</v>
      </c>
      <c r="AF44" s="42" t="n">
        <f aca="false">COUNTIF($S$7:$T$78,"=" &amp; AE44 &amp; "_win")</f>
        <v>0</v>
      </c>
      <c r="AG44" s="42" t="n">
        <f aca="false">COUNTIF($S$7:$T$78,"=" &amp; AE44 &amp; "_draw")</f>
        <v>0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0</v>
      </c>
      <c r="AJ44" s="42" t="n">
        <f aca="false">SUMIF($E$7:$E$78,$AE44,$G$7:$G$78) + SUMIF($H$7:$H$78,$AE44,$F$7:$F$78)</f>
        <v>0</v>
      </c>
      <c r="AL44" s="42" t="n">
        <f aca="false">AI44-AJ44</f>
        <v>0</v>
      </c>
      <c r="AM44" s="42" t="n">
        <f aca="false">AL44-AL48</f>
        <v>0</v>
      </c>
      <c r="AN44" s="42" t="n">
        <f aca="false">AF44*3+AG44</f>
        <v>0</v>
      </c>
      <c r="AO44" s="42" t="n">
        <f aca="false">AN44/AN48*10+BA44</f>
        <v>0</v>
      </c>
      <c r="AP44" s="42" t="n">
        <f aca="false">AO44*10000000+BI44*100+AM44/AM48*10+AI44/AI48*1++IF(AQ44=0,ROW(),AQ44)/2000000</f>
        <v>0.000867355</v>
      </c>
      <c r="AQ44" s="46" t="n">
        <f aca="false">VLOOKUP(AE44,db_fifarank,2,FALSE())</f>
        <v>1734.71</v>
      </c>
      <c r="AR44" s="45" t="n">
        <f aca="false">AP44/AP48</f>
        <v>0.000866603347253743</v>
      </c>
      <c r="AS44" s="45" t="str">
        <f aca="false">IF(SUM(AF44:AH47)=12,J45,"1G")</f>
        <v>1G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0</v>
      </c>
      <c r="AV44" s="46" t="n">
        <f aca="false" t="array" ref="AV44:AV44">SUMPRODUCT(($E$7:$E$78=AE44)*($U$7:$U$78)*($F$7:$F$78))+SUMPRODUCT(($H$7:$H$78=AE44)*($U$7:$U$78)*($G$7:$G$78))</f>
        <v>0</v>
      </c>
      <c r="AW44" s="46" t="n">
        <f aca="false" t="array" ref="AW44:AW44">SUMPRODUCT(($E$7:$E$78=AE44)*($U$7:$U$78)*($G$7:$G$78))+SUMPRODUCT(($H$7:$H$78=AE44)*($U$7:$U$78)*($F$7:$F$78))</f>
        <v>0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0</v>
      </c>
      <c r="BA44" s="46" t="n">
        <f aca="false">AZ44/AZ48</f>
        <v>0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0</v>
      </c>
      <c r="BD44" s="46" t="n">
        <f aca="false" t="array" ref="BD44:BD44">SUMPRODUCT(($E$7:$E$78=AE44)*($X$7:$X$78)*($F$7:$F$78))+SUMPRODUCT(($H$7:$H$78=AE44)*($X$7:$X$78)*($G$7:$G$78))</f>
        <v>0</v>
      </c>
      <c r="BE44" s="46" t="n">
        <f aca="false" t="array" ref="BE44:BE44">SUMPRODUCT(($E$7:$E$78=AE44)*($X$7:$X$78)*($G$7:$G$78))+SUMPRODUCT(($H$7:$H$78=AE44)*($X$7:$X$78)*($F$7:$F$78))</f>
        <v>0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0</v>
      </c>
      <c r="BI44" s="46" t="n">
        <f aca="false">BH44/BH48</f>
        <v>0</v>
      </c>
      <c r="BK44" s="74"/>
      <c r="BL44" s="74"/>
      <c r="BM44" s="74"/>
      <c r="BN44" s="74"/>
      <c r="BO44" s="74"/>
      <c r="BP44" s="97"/>
      <c r="BQ44" s="47"/>
      <c r="BR44" s="83" t="n">
        <v>91</v>
      </c>
      <c r="BS44" s="84" t="str">
        <f aca="false">IF(BP42&gt;BP43,BL42,IF(BP42&lt;BP43,BL43,""))</f>
        <v/>
      </c>
      <c r="BT44" s="85"/>
      <c r="BU44" s="86"/>
      <c r="BV44" s="87"/>
      <c r="BW44" s="47" t="str">
        <f aca="false">IF(OR(BT44="",BT45="",AND(BU44="",BU45&lt;&gt;""),AND(BU45="",BU44&lt;&gt;""),AND(BV44="",BV45&lt;&gt;""),AND(BV45="",BV44&lt;&gt;"")),"",BT44*1000+BU44*10+BV44)</f>
        <v/>
      </c>
      <c r="CK44" s="97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79"/>
      <c r="G45" s="69"/>
      <c r="H45" s="70" t="str">
        <f aca="false">AE46</f>
        <v>Iran</v>
      </c>
      <c r="J45" s="75" t="str">
        <f aca="false">VLOOKUP(1,AD44:AN47,2,FALSE())</f>
        <v>Belgium</v>
      </c>
      <c r="K45" s="76" t="n">
        <f aca="false">L45+M45+N45</f>
        <v>0</v>
      </c>
      <c r="L45" s="76" t="n">
        <f aca="false">VLOOKUP(1,AD44:AN47,3,FALSE())</f>
        <v>0</v>
      </c>
      <c r="M45" s="76" t="n">
        <f aca="false">VLOOKUP(1,AD44:AN47,4,FALSE())</f>
        <v>0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0 - 0</v>
      </c>
      <c r="P45" s="77" t="n">
        <f aca="false">L45*3+M45</f>
        <v>0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/>
      </c>
      <c r="T45" s="43" t="str">
        <f aca="false">IF(S45="","",IF(F45&lt;G45,H45&amp;"_win",IF(F45&gt;G45,H45&amp;"_lose",H45&amp;"_draw")))</f>
        <v/>
      </c>
      <c r="U45" s="42" t="n">
        <f aca="false">IF(S45="",0,IF(VLOOKUP(E45,$AE$8:$AN$77,10,FALSE())=VLOOKUP(H45,$AE$8:$AN$77,10,FALSE()),1,0))</f>
        <v>0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0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str">
        <f aca="false">IF(OR(F45="",G45=""),"",IF(F45&gt;G45,1,IF(F45&lt;G45,-1,0)))</f>
        <v/>
      </c>
      <c r="AD45" s="42" t="n">
        <f aca="false">COUNTIF(AR44:AR47,CONCATENATE("&gt;=",AR45))</f>
        <v>3</v>
      </c>
      <c r="AE45" s="44" t="str">
        <f aca="false">VLOOKUP("Egypt",T,lang,FALSE())</f>
        <v>Egypt</v>
      </c>
      <c r="AF45" s="42" t="n">
        <f aca="false">COUNTIF($S$7:$T$78,"=" &amp; AE45 &amp; "_win")</f>
        <v>0</v>
      </c>
      <c r="AG45" s="42" t="n">
        <f aca="false">COUNTIF($S$7:$T$78,"=" &amp; AE45 &amp; "_draw")</f>
        <v>0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0</v>
      </c>
      <c r="AJ45" s="42" t="n">
        <f aca="false">SUMIF($E$7:$E$78,$AE45,$G$7:$G$78) + SUMIF($H$7:$H$78,$AE45,$F$7:$F$78)</f>
        <v>0</v>
      </c>
      <c r="AL45" s="42" t="n">
        <f aca="false">AI45-AJ45</f>
        <v>0</v>
      </c>
      <c r="AM45" s="42" t="n">
        <f aca="false">AL45-AL48</f>
        <v>0</v>
      </c>
      <c r="AN45" s="42" t="n">
        <f aca="false">AF45*3+AG45</f>
        <v>0</v>
      </c>
      <c r="AO45" s="42" t="n">
        <f aca="false">AN45/AN48*10+BA45</f>
        <v>0</v>
      </c>
      <c r="AP45" s="42" t="n">
        <f aca="false">AO45*10000000+BI45*100+AM45/AM48*10+AI45/AI48*1++IF(AQ45=0,ROW(),AQ45)/2000000</f>
        <v>0.00078162</v>
      </c>
      <c r="AQ45" s="46" t="n">
        <f aca="false">VLOOKUP(AE45,db_fifarank,2,FALSE())</f>
        <v>1563.24</v>
      </c>
      <c r="AR45" s="45" t="n">
        <f aca="false">AP45/AP48</f>
        <v>0.00078094264549172</v>
      </c>
      <c r="AS45" s="45" t="str">
        <f aca="false">IF(SUM(AF44:AH47)=12,J46,"2G")</f>
        <v>2G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0</v>
      </c>
      <c r="AV45" s="46" t="n">
        <f aca="false" t="array" ref="AV45:AV45">SUMPRODUCT(($E$7:$E$78=AE45)*($U$7:$U$78)*($F$7:$F$78))+SUMPRODUCT(($H$7:$H$78=AE45)*($U$7:$U$78)*($G$7:$G$78))</f>
        <v>0</v>
      </c>
      <c r="AW45" s="46" t="n">
        <f aca="false" t="array" ref="AW45:AW45">SUMPRODUCT(($E$7:$E$78=AE45)*($U$7:$U$78)*($G$7:$G$78))+SUMPRODUCT(($H$7:$H$78=AE45)*($U$7:$U$78)*($F$7:$F$78))</f>
        <v>0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0</v>
      </c>
      <c r="BA45" s="46" t="n">
        <f aca="false">AZ45/AZ48</f>
        <v>0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0</v>
      </c>
      <c r="BD45" s="46" t="n">
        <f aca="false" t="array" ref="BD45:BD45">SUMPRODUCT(($E$7:$E$78=AE45)*($X$7:$X$78)*($F$7:$F$78))+SUMPRODUCT(($H$7:$H$78=AE45)*($X$7:$X$78)*($G$7:$G$78))</f>
        <v>0</v>
      </c>
      <c r="BE45" s="46" t="n">
        <f aca="false" t="array" ref="BE45:BE45">SUMPRODUCT(($E$7:$E$78=AE45)*($X$7:$X$78)*($G$7:$G$78))+SUMPRODUCT(($H$7:$H$78=AE45)*($X$7:$X$78)*($F$7:$F$78))</f>
        <v>0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0</v>
      </c>
      <c r="BI45" s="46" t="n">
        <f aca="false">BH45/BH48</f>
        <v>0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3"/>
      <c r="BP45" s="97" t="n">
        <f aca="false">DATE(2026,6,30)+TIME(6,0,0)+gmt_delta</f>
        <v>46203.5416666667</v>
      </c>
      <c r="BQ45" s="98"/>
      <c r="BR45" s="83"/>
      <c r="BS45" s="88" t="str">
        <f aca="false">IF(BP46&gt;BP47,BL46,IF(BP46&lt;BP47,BL47,""))</f>
        <v/>
      </c>
      <c r="BT45" s="89"/>
      <c r="BU45" s="90"/>
      <c r="BV45" s="91"/>
      <c r="BW45" s="92" t="str">
        <f aca="false">IF(BW44="","",BT45*1000+BU45*10+BV45)</f>
        <v/>
      </c>
      <c r="CK45" s="97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79"/>
      <c r="G46" s="69"/>
      <c r="H46" s="70" t="str">
        <f aca="false">AE45</f>
        <v>Egypt</v>
      </c>
      <c r="J46" s="80" t="str">
        <f aca="false">VLOOKUP(2,AD44:AN47,2,FALSE())</f>
        <v>Iran</v>
      </c>
      <c r="K46" s="81" t="n">
        <f aca="false">L46+M46+N46</f>
        <v>0</v>
      </c>
      <c r="L46" s="81" t="n">
        <f aca="false">VLOOKUP(2,AD44:AN47,3,FALSE())</f>
        <v>0</v>
      </c>
      <c r="M46" s="81" t="n">
        <f aca="false">VLOOKUP(2,AD44:AN47,4,FALSE())</f>
        <v>0</v>
      </c>
      <c r="N46" s="81" t="n">
        <f aca="false">VLOOKUP(2,AD44:AN47,5,FALSE())</f>
        <v>0</v>
      </c>
      <c r="O46" s="81" t="str">
        <f aca="false">VLOOKUP(2,AD44:AN47,6,FALSE()) &amp; " - " &amp; VLOOKUP(2,AD44:AN47,7,FALSE())</f>
        <v>0 - 0</v>
      </c>
      <c r="P46" s="82" t="n">
        <f aca="false">L46*3+M46</f>
        <v>0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/>
      </c>
      <c r="T46" s="43" t="str">
        <f aca="false">IF(S46="","",IF(F46&lt;G46,H46&amp;"_win",IF(F46&gt;G46,H46&amp;"_lose",H46&amp;"_draw")))</f>
        <v/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str">
        <f aca="false">IF(OR(F46="",G46=""),"",IF(F46&gt;G46,1,IF(F46&lt;G46,-1,0)))</f>
        <v/>
      </c>
      <c r="AD46" s="42" t="n">
        <f aca="false">COUNTIF(AR44:AR47,CONCATENATE("&gt;=",AR46))</f>
        <v>2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0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0</v>
      </c>
      <c r="AJ46" s="42" t="n">
        <f aca="false">SUMIF($E$7:$E$78,$AE46,$G$7:$G$78) + SUMIF($H$7:$H$78,$AE46,$F$7:$F$78)</f>
        <v>0</v>
      </c>
      <c r="AL46" s="42" t="n">
        <f aca="false">AI46-AJ46</f>
        <v>0</v>
      </c>
      <c r="AM46" s="42" t="n">
        <f aca="false">AL46-AL48</f>
        <v>0</v>
      </c>
      <c r="AN46" s="42" t="n">
        <f aca="false">AF46*3+AG46</f>
        <v>0</v>
      </c>
      <c r="AO46" s="42" t="n">
        <f aca="false">AN46/AN48*10+BA46</f>
        <v>0</v>
      </c>
      <c r="AP46" s="42" t="n">
        <f aca="false">AO46*10000000+BI46*100+AM46/AM48*10+AI46/AI48*1++IF(AQ46=0,ROW(),AQ46)/2000000</f>
        <v>0.00080765</v>
      </c>
      <c r="AQ46" s="46" t="n">
        <f aca="false">VLOOKUP(AE46,db_fifarank,2,FALSE())</f>
        <v>1615.3</v>
      </c>
      <c r="AR46" s="45" t="n">
        <f aca="false">AP46/AP48</f>
        <v>0.00080695008780659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0</v>
      </c>
      <c r="AV46" s="46" t="n">
        <f aca="false" t="array" ref="AV46:AV46">SUMPRODUCT(($E$7:$E$78=AE46)*($U$7:$U$78)*($F$7:$F$78))+SUMPRODUCT(($H$7:$H$78=AE46)*($U$7:$U$78)*($G$7:$G$78))</f>
        <v>0</v>
      </c>
      <c r="AW46" s="46" t="n">
        <f aca="false" t="array" ref="AW46:AW46">SUMPRODUCT(($E$7:$E$78=AE46)*($U$7:$U$78)*($G$7:$G$78))+SUMPRODUCT(($H$7:$H$78=AE46)*($U$7:$U$78)*($F$7:$F$78))</f>
        <v>0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0</v>
      </c>
      <c r="BA46" s="46" t="n">
        <f aca="false">AZ46/AZ48</f>
        <v>0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0</v>
      </c>
      <c r="BD46" s="46" t="n">
        <f aca="false" t="array" ref="BD46:BD46">SUMPRODUCT(($E$7:$E$78=AE46)*($X$7:$X$78)*($F$7:$F$78))+SUMPRODUCT(($H$7:$H$78=AE46)*($X$7:$X$78)*($G$7:$G$78))</f>
        <v>0</v>
      </c>
      <c r="BE46" s="46" t="n">
        <f aca="false" t="array" ref="BE46:BE46">SUMPRODUCT(($E$7:$E$78=AE46)*($X$7:$X$78)*($G$7:$G$78))+SUMPRODUCT(($H$7:$H$78=AE46)*($X$7:$X$78)*($F$7:$F$78))</f>
        <v>0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0</v>
      </c>
      <c r="BI46" s="46" t="n">
        <f aca="false">BH46/BH48</f>
        <v>0</v>
      </c>
      <c r="BK46" s="83" t="n">
        <v>78</v>
      </c>
      <c r="BL46" s="84" t="str">
        <f aca="false">AS33</f>
        <v>2E</v>
      </c>
      <c r="BM46" s="85"/>
      <c r="BN46" s="86"/>
      <c r="BO46" s="87"/>
      <c r="BP46" s="100" t="str">
        <f aca="false">IF(OR(BM46="",BM47="",AND(BN46="",BN47&lt;&gt;""),AND(BN47="",BN46&lt;&gt;""),AND(BO46="",BO47&lt;&gt;""),AND(BO47="",BO46&lt;&gt;"")),"",BM46*1000+BN46*10+BO46)</f>
        <v/>
      </c>
      <c r="BQ46" s="47"/>
      <c r="BR46" s="74"/>
      <c r="BS46" s="74"/>
      <c r="BT46" s="74"/>
      <c r="BU46" s="74"/>
      <c r="BV46" s="74"/>
      <c r="BW46" s="97"/>
      <c r="CK46" s="97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79"/>
      <c r="G47" s="69"/>
      <c r="H47" s="70" t="str">
        <f aca="false">AE57</f>
        <v>Senegal</v>
      </c>
      <c r="J47" s="80" t="str">
        <f aca="false">VLOOKUP(3,AD44:AN47,2,FALSE())</f>
        <v>Egypt</v>
      </c>
      <c r="K47" s="81" t="n">
        <f aca="false">L47+M47+N47</f>
        <v>0</v>
      </c>
      <c r="L47" s="81" t="n">
        <f aca="false">VLOOKUP(3,AD44:AN47,3,FALSE())</f>
        <v>0</v>
      </c>
      <c r="M47" s="81" t="n">
        <f aca="false">VLOOKUP(3,AD44:AN47,4,FALSE())</f>
        <v>0</v>
      </c>
      <c r="N47" s="81" t="n">
        <f aca="false">VLOOKUP(3,AD44:AN47,5,FALSE())</f>
        <v>0</v>
      </c>
      <c r="O47" s="81" t="str">
        <f aca="false">VLOOKUP(3,AD44:AN47,6,FALSE()) &amp; " - " &amp; VLOOKUP(3,AD44:AN47,7,FALSE())</f>
        <v>0 - 0</v>
      </c>
      <c r="P47" s="82" t="n">
        <f aca="false">L47*3+M47</f>
        <v>0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/>
      </c>
      <c r="T47" s="43" t="str">
        <f aca="false">IF(S47="","",IF(F47&lt;G47,H47&amp;"_win",IF(F47&gt;G47,H47&amp;"_lose",H47&amp;"_draw")))</f>
        <v/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str">
        <f aca="false">IF(OR(F47="",G47=""),"",IF(F47&gt;G47,1,IF(F47&lt;G47,-1,0)))</f>
        <v/>
      </c>
      <c r="AD47" s="42" t="n">
        <f aca="false">COUNTIF(AR44:AR47,CONCATENATE("&gt;=",AR47))</f>
        <v>4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0</v>
      </c>
      <c r="AH47" s="42" t="n">
        <f aca="false">COUNTIF($S$7:$T$78,"=" &amp; AE47 &amp; "_lose")</f>
        <v>0</v>
      </c>
      <c r="AI47" s="42" t="n">
        <f aca="false">SUMIF($E$7:$E$78,$AE47,$F$7:$F$78) + SUMIF($H$7:$H$78,$AE47,$G$7:$G$78)</f>
        <v>0</v>
      </c>
      <c r="AJ47" s="42" t="n">
        <f aca="false">SUMIF($E$7:$E$78,$AE47,$G$7:$G$78) + SUMIF($H$7:$H$78,$AE47,$F$7:$F$78)</f>
        <v>0</v>
      </c>
      <c r="AL47" s="42" t="n">
        <f aca="false">AI47-AJ47</f>
        <v>0</v>
      </c>
      <c r="AM47" s="42" t="n">
        <f aca="false">AL47-AL48</f>
        <v>0</v>
      </c>
      <c r="AN47" s="42" t="n">
        <f aca="false">AF47*3+AG47</f>
        <v>0</v>
      </c>
      <c r="AO47" s="42" t="n">
        <f aca="false">AN47/AN48*10+BA47</f>
        <v>0</v>
      </c>
      <c r="AP47" s="42" t="n">
        <f aca="false">AO47*10000000+BI47*100+AM47/AM48*10+AI47/AI48*1++IF(AQ47=0,ROW(),AQ47)/2000000</f>
        <v>0.000640785</v>
      </c>
      <c r="AQ47" s="46" t="n">
        <f aca="false">VLOOKUP(AE47,db_fifarank,2,FALSE())</f>
        <v>1281.57</v>
      </c>
      <c r="AR47" s="45" t="n">
        <f aca="false">AP47/AP48</f>
        <v>0.00064022969357413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0</v>
      </c>
      <c r="AV47" s="46" t="n">
        <f aca="false" t="array" ref="AV47:AV47">SUMPRODUCT(($E$7:$E$78=AE47)*($U$7:$U$78)*($F$7:$F$78))+SUMPRODUCT(($H$7:$H$78=AE47)*($U$7:$U$78)*($G$7:$G$78))</f>
        <v>0</v>
      </c>
      <c r="AW47" s="46" t="n">
        <f aca="false" t="array" ref="AW47:AW47">SUMPRODUCT(($E$7:$E$78=AE47)*($U$7:$U$78)*($G$7:$G$78))+SUMPRODUCT(($H$7:$H$78=AE47)*($U$7:$U$78)*($F$7:$F$78))</f>
        <v>0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0</v>
      </c>
      <c r="BA47" s="46" t="n">
        <f aca="false">AZ47/AZ48</f>
        <v>0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0</v>
      </c>
      <c r="BD47" s="46" t="n">
        <f aca="false" t="array" ref="BD47:BD47">SUMPRODUCT(($E$7:$E$78=AE47)*($X$7:$X$78)*($F$7:$F$78))+SUMPRODUCT(($H$7:$H$78=AE47)*($X$7:$X$78)*($G$7:$G$78))</f>
        <v>0</v>
      </c>
      <c r="BE47" s="46" t="n">
        <f aca="false" t="array" ref="BE47:BE47">SUMPRODUCT(($E$7:$E$78=AE47)*($X$7:$X$78)*($G$7:$G$78))+SUMPRODUCT(($H$7:$H$78=AE47)*($X$7:$X$78)*($F$7:$F$78))</f>
        <v>0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0</v>
      </c>
      <c r="BI47" s="46" t="n">
        <f aca="false">BH47/BH48</f>
        <v>0</v>
      </c>
      <c r="BK47" s="83"/>
      <c r="BL47" s="88" t="str">
        <f aca="false">AS57</f>
        <v>2I</v>
      </c>
      <c r="BM47" s="89"/>
      <c r="BN47" s="90"/>
      <c r="BO47" s="91"/>
      <c r="BP47" s="47" t="str">
        <f aca="false">IF(BP46="","",BM47*1000+BN47*10+BO47)</f>
        <v/>
      </c>
      <c r="BQ47" s="47"/>
      <c r="BR47" s="74"/>
      <c r="BS47" s="74"/>
      <c r="BT47" s="74"/>
      <c r="BU47" s="74"/>
      <c r="BV47" s="74"/>
      <c r="BW47" s="97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3"/>
      <c r="CD47" s="47" t="n">
        <f aca="false">DATE(2026,7,11)+TIME(10,0,0)+gmt_delta</f>
        <v>46214.7083333333</v>
      </c>
      <c r="CK47" s="97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3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79"/>
      <c r="G48" s="69"/>
      <c r="H48" s="70" t="str">
        <f aca="false">AE58</f>
        <v>Iraq</v>
      </c>
      <c r="J48" s="94" t="str">
        <f aca="false">VLOOKUP(4,AD44:AN47,2,FALSE())</f>
        <v>New Zealand</v>
      </c>
      <c r="K48" s="95" t="n">
        <f aca="false">L48+M48+N48</f>
        <v>0</v>
      </c>
      <c r="L48" s="95" t="n">
        <f aca="false">VLOOKUP(4,AD44:AN47,3,FALSE())</f>
        <v>0</v>
      </c>
      <c r="M48" s="95" t="n">
        <f aca="false">VLOOKUP(4,AD44:AN47,4,FALSE())</f>
        <v>0</v>
      </c>
      <c r="N48" s="95" t="n">
        <f aca="false">VLOOKUP(4,AD44:AN47,5,FALSE())</f>
        <v>0</v>
      </c>
      <c r="O48" s="95" t="str">
        <f aca="false">VLOOKUP(4,AD44:AN47,6,FALSE()) &amp; " - " &amp; VLOOKUP(4,AD44:AN47,7,FALSE())</f>
        <v>0 - 0</v>
      </c>
      <c r="P48" s="96" t="n">
        <f aca="false">L48*3+M48</f>
        <v>0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/>
      </c>
      <c r="T48" s="43" t="str">
        <f aca="false">IF(S48="","",IF(F48&lt;G48,H48&amp;"_win",IF(F48&gt;G48,H48&amp;"_lose",H48&amp;"_draw")))</f>
        <v/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str">
        <f aca="false">IF(OR(F48="",G48=""),"",IF(F48&gt;G48,1,IF(F48&lt;G48,-1,0)))</f>
        <v/>
      </c>
      <c r="AF48" s="42" t="n">
        <f aca="false">MAX(AF44:AF47)-MIN(AF44:AF47)+1</f>
        <v>1</v>
      </c>
      <c r="AG48" s="42" t="n">
        <f aca="false">MAX(AG44:AG47)-MIN(AG44:AG47)+1</f>
        <v>1</v>
      </c>
      <c r="AH48" s="42" t="n">
        <f aca="false">MAX(AH44:AH47)-MIN(AH44:AH47)+1</f>
        <v>1</v>
      </c>
      <c r="AI48" s="42" t="n">
        <f aca="false">MAX(AI44:AI47)+1</f>
        <v>1</v>
      </c>
      <c r="AL48" s="42" t="n">
        <f aca="false">MIN(AL44:AL47)</f>
        <v>0</v>
      </c>
      <c r="AM48" s="42" t="n">
        <f aca="false">MAX(AM44:AM47)+1</f>
        <v>1</v>
      </c>
      <c r="AN48" s="42" t="n">
        <f aca="false">MAX(AN44:AN47)+1</f>
        <v>1</v>
      </c>
      <c r="AO48" s="42" t="n">
        <f aca="false">MAX(AO44:AO47)+1</f>
        <v>1</v>
      </c>
      <c r="AP48" s="42" t="n">
        <f aca="false">MAX(AP44:AP47)+1</f>
        <v>1.000867355</v>
      </c>
      <c r="AT48" s="46" t="n">
        <f aca="false">MAX(AT44:AT47)-MIN(AT44:AT47)+1</f>
        <v>1</v>
      </c>
      <c r="AU48" s="46" t="n">
        <f aca="false">MAX(AU44:AU47)-MIN(AU44:AU47)+1</f>
        <v>1</v>
      </c>
      <c r="AV48" s="46" t="n">
        <f aca="false">MAX(AV44:AV47)-MIN(AV44:AV47)+1</f>
        <v>1</v>
      </c>
      <c r="AW48" s="46" t="n">
        <f aca="false">MAX(AW44:AW47)-MIN(AW44:AW47)+1</f>
        <v>1</v>
      </c>
      <c r="AY48" s="46" t="n">
        <f aca="false">MAX(AY44:AY47)-MIN(AY44:AY47)+1</f>
        <v>1</v>
      </c>
      <c r="AZ48" s="46" t="n">
        <f aca="false">MAX(AZ44:AZ47)+1</f>
        <v>1</v>
      </c>
      <c r="BB48" s="46" t="n">
        <f aca="false">MAX(BB44:BB47)-MIN(BB44:BB47)+1</f>
        <v>1</v>
      </c>
      <c r="BC48" s="46" t="n">
        <f aca="false">MAX(BC44:BC47)-MIN(BC44:BC47)+1</f>
        <v>1</v>
      </c>
      <c r="BD48" s="46" t="n">
        <f aca="false">MAX(BD44:BD47)-MIN(BD44:BD47)+1</f>
        <v>1</v>
      </c>
      <c r="BE48" s="46" t="n">
        <f aca="false">MAX(BE44:BE47)-MIN(BE44:BE47)+1</f>
        <v>1</v>
      </c>
      <c r="BG48" s="46" t="n">
        <f aca="false">MAX(BG44:BG47)-MIN(BG44:BG47)+1</f>
        <v>1</v>
      </c>
      <c r="BH48" s="46" t="n">
        <f aca="false">MAX(BH44:BH47)+1</f>
        <v>1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7"/>
      <c r="BX48" s="47"/>
      <c r="BY48" s="83" t="n">
        <v>99</v>
      </c>
      <c r="BZ48" s="84" t="str">
        <f aca="false">IF(BW44&gt;BW45,BS44,IF(BW44&lt;BW45,BS45,""))</f>
        <v/>
      </c>
      <c r="CA48" s="85"/>
      <c r="CB48" s="86"/>
      <c r="CC48" s="87"/>
      <c r="CD48" s="47" t="str">
        <f aca="false">IF(OR(CA48="",CA49="",AND(CB48="",CB49&lt;&gt;""),AND(CB49="",CB48&lt;&gt;""),AND(CC48="",CC49&lt;&gt;""),AND(CC49="",CC48&lt;&gt;"")),"",CA48*1000+CB48*10+CC48)</f>
        <v/>
      </c>
      <c r="CK48" s="97"/>
      <c r="CL48" s="47"/>
      <c r="CM48" s="83" t="n">
        <v>103</v>
      </c>
      <c r="CN48" s="84" t="str">
        <f aca="false">IF(CK23&gt;CK24,CG24,IF(CK23&lt;CK24,CG23,""))</f>
        <v/>
      </c>
      <c r="CO48" s="85"/>
      <c r="CP48" s="86"/>
      <c r="CQ48" s="87"/>
      <c r="CR48" s="48" t="str">
        <f aca="false">IF(OR(CO48="",CO49="",AND(CP48="",CP49&lt;&gt;""),AND(CP49="",CP48&lt;&gt;""),AND(CQ48="",CQ49&lt;&gt;""),AND(CQ49="",CQ48&lt;&gt;"")),"",CO48*1000+CP48*10+CQ48)</f>
        <v/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79"/>
      <c r="G49" s="69"/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/>
      </c>
      <c r="T49" s="43" t="str">
        <f aca="false">IF(S49="","",IF(F49&lt;G49,H49&amp;"_win",IF(F49&gt;G49,H49&amp;"_lose",H49&amp;"_draw")))</f>
        <v/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str">
        <f aca="false">IF(OR(F49="",G49=""),"",IF(F49&gt;G49,1,IF(F49&lt;G49,-1,0)))</f>
        <v/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3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7"/>
      <c r="BX49" s="98"/>
      <c r="BY49" s="83"/>
      <c r="BZ49" s="88" t="str">
        <f aca="false">IF(BW52&gt;BW53,BS52,IF(BW52&lt;BW53,BS53,""))</f>
        <v/>
      </c>
      <c r="CA49" s="89"/>
      <c r="CB49" s="90"/>
      <c r="CC49" s="91"/>
      <c r="CD49" s="92" t="str">
        <f aca="false">IF(CD48="","",CA49*1000+CB49*10+CC49)</f>
        <v/>
      </c>
      <c r="CK49" s="97"/>
      <c r="CL49" s="98"/>
      <c r="CM49" s="83"/>
      <c r="CN49" s="88" t="str">
        <f aca="false">IF(CK55&gt;CK56,CG56,IF(CK55&lt;CK56,CG55,""))</f>
        <v/>
      </c>
      <c r="CO49" s="89"/>
      <c r="CP49" s="90"/>
      <c r="CQ49" s="91"/>
      <c r="CR49" s="48" t="str">
        <f aca="false">IF(CR48="","",CO49*1000+CP49*10+CQ49)</f>
        <v/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79"/>
      <c r="G50" s="69"/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/>
      </c>
      <c r="T50" s="43" t="str">
        <f aca="false">IF(S50="","",IF(F50&lt;G50,H50&amp;"_win",IF(F50&gt;G50,H50&amp;"_lose",H50&amp;"_draw")))</f>
        <v/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str">
        <f aca="false">IF(OR(F50="",G50=""),"",IF(F50&gt;G50,1,IF(F50&lt;G50,-1,0)))</f>
        <v/>
      </c>
      <c r="AD50" s="42" t="n">
        <f aca="false">COUNTIF(AR50:AR53,CONCATENATE("&gt;=",AR50))</f>
        <v>1</v>
      </c>
      <c r="AE50" s="44" t="str">
        <f aca="false">VLOOKUP("Spain",T,lang,FALSE())</f>
        <v>Spain</v>
      </c>
      <c r="AF50" s="42" t="n">
        <f aca="false">COUNTIF($S$7:$T$78,"=" &amp; AE50 &amp; "_win")</f>
        <v>0</v>
      </c>
      <c r="AG50" s="42" t="n">
        <f aca="false">COUNTIF($S$7:$T$78,"=" &amp; AE50 &amp; "_draw")</f>
        <v>0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0</v>
      </c>
      <c r="AJ50" s="42" t="n">
        <f aca="false">SUMIF($E$7:$E$78,$AE50,$G$7:$G$78) + SUMIF($H$7:$H$78,$AE50,$F$7:$F$78)</f>
        <v>0</v>
      </c>
      <c r="AL50" s="42" t="n">
        <f aca="false">AI50-AJ50</f>
        <v>0</v>
      </c>
      <c r="AM50" s="42" t="n">
        <f aca="false">AL50-AL54</f>
        <v>0</v>
      </c>
      <c r="AN50" s="42" t="n">
        <f aca="false">AF50*3+AG50</f>
        <v>0</v>
      </c>
      <c r="AO50" s="42" t="n">
        <f aca="false">AN50/AN54*10+BA50</f>
        <v>0</v>
      </c>
      <c r="AP50" s="42" t="n">
        <f aca="false">AO50*10000000+BI50*100+AM50/AM54*10+AI50/AI54*1++IF(AQ50=0,ROW(),AQ50)/2000000</f>
        <v>0.0009382</v>
      </c>
      <c r="AQ50" s="46" t="n">
        <f aca="false">VLOOKUP(AE50,db_fifarank,2,FALSE())</f>
        <v>1876.4</v>
      </c>
      <c r="AR50" s="45" t="n">
        <f aca="false">AP50/AP54</f>
        <v>0.000937320605807631</v>
      </c>
      <c r="AS50" s="45" t="str">
        <f aca="false">IF(SUM(AF50:AH53)=12,J51,"1H")</f>
        <v>1H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0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0</v>
      </c>
      <c r="BA50" s="46" t="n">
        <f aca="false">AZ50/AZ54</f>
        <v>0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0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0</v>
      </c>
      <c r="BI50" s="46" t="n">
        <f aca="false">BH50/BH54</f>
        <v>0</v>
      </c>
      <c r="BK50" s="83" t="n">
        <v>79</v>
      </c>
      <c r="BL50" s="84" t="str">
        <f aca="false">AS8</f>
        <v>1A</v>
      </c>
      <c r="BM50" s="85"/>
      <c r="BN50" s="86"/>
      <c r="BO50" s="87"/>
      <c r="BP50" s="47" t="str">
        <f aca="false">IF(OR(BM50="",BM51="",AND(BN50="",BN51&lt;&gt;""),AND(BN51="",BN50&lt;&gt;""),AND(BO50="",BO51&lt;&gt;""),AND(BO51="",BO50&lt;&gt;"")),"",BM50*1000+BN50*10+BO50)</f>
        <v/>
      </c>
      <c r="BQ50" s="47"/>
      <c r="BR50" s="74"/>
      <c r="BS50" s="74"/>
      <c r="BT50" s="74"/>
      <c r="BU50" s="74"/>
      <c r="BV50" s="74"/>
      <c r="BW50" s="97"/>
      <c r="BX50" s="47"/>
      <c r="BY50" s="74"/>
      <c r="BZ50" s="74"/>
      <c r="CA50" s="74"/>
      <c r="CB50" s="74"/>
      <c r="CC50" s="74"/>
      <c r="CD50" s="97"/>
      <c r="CK50" s="97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79"/>
      <c r="G51" s="69"/>
      <c r="H51" s="70" t="str">
        <f aca="false">AE76</f>
        <v>Ghana</v>
      </c>
      <c r="J51" s="75" t="str">
        <f aca="false">VLOOKUP(1,AD50:AN53,2,FALSE())</f>
        <v>Spain</v>
      </c>
      <c r="K51" s="76" t="n">
        <f aca="false">L51+M51+N51</f>
        <v>0</v>
      </c>
      <c r="L51" s="76" t="n">
        <f aca="false">VLOOKUP(1,AD50:AN53,3,FALSE())</f>
        <v>0</v>
      </c>
      <c r="M51" s="76" t="n">
        <f aca="false">VLOOKUP(1,AD50:AN53,4,FALSE())</f>
        <v>0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0 - 0</v>
      </c>
      <c r="P51" s="77" t="n">
        <f aca="false">L51*3+M51</f>
        <v>0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/>
      </c>
      <c r="T51" s="43" t="str">
        <f aca="false">IF(S51="","",IF(F51&lt;G51,H51&amp;"_win",IF(F51&gt;G51,H51&amp;"_lose",H51&amp;"_draw")))</f>
        <v/>
      </c>
      <c r="U51" s="42" t="n">
        <f aca="false">IF(S51="",0,IF(VLOOKUP(E51,$AE$8:$AN$77,10,FALSE())=VLOOKUP(H51,$AE$8:$AN$77,10,FALSE()),1,0))</f>
        <v>0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0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str">
        <f aca="false">IF(OR(F51="",G51=""),"",IF(F51&gt;G51,1,IF(F51&lt;G51,-1,0)))</f>
        <v/>
      </c>
      <c r="AD51" s="42" t="n">
        <f aca="false">COUNTIF(AR50:AR53,CONCATENATE("&gt;=",AR51))</f>
        <v>4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0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0</v>
      </c>
      <c r="AJ51" s="42" t="n">
        <f aca="false">SUMIF($E$7:$E$78,$AE51,$G$7:$G$78) + SUMIF($H$7:$H$78,$AE51,$F$7:$F$78)</f>
        <v>0</v>
      </c>
      <c r="AL51" s="42" t="n">
        <f aca="false">AI51-AJ51</f>
        <v>0</v>
      </c>
      <c r="AM51" s="42" t="n">
        <f aca="false">AL51-AL54</f>
        <v>0</v>
      </c>
      <c r="AN51" s="42" t="n">
        <f aca="false">AF51*3+AG51</f>
        <v>0</v>
      </c>
      <c r="AO51" s="42" t="n">
        <f aca="false">AN51/AN54*10+BA51</f>
        <v>0</v>
      </c>
      <c r="AP51" s="42" t="n">
        <f aca="false">AO51*10000000+BI51*100+AM51/AM54*10+AI51/AI54*1++IF(AQ51=0,ROW(),AQ51)/2000000</f>
        <v>0.000683065</v>
      </c>
      <c r="AQ51" s="46" t="n">
        <f aca="false">VLOOKUP(AE51,db_fifarank,2,FALSE())</f>
        <v>1366.13</v>
      </c>
      <c r="AR51" s="45" t="n">
        <f aca="false">AP51/AP54</f>
        <v>0.000682424749100394</v>
      </c>
      <c r="AS51" s="45" t="str">
        <f aca="false">IF(SUM(AF50:AH53)=12,J52,"2H")</f>
        <v>2H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0</v>
      </c>
      <c r="AV51" s="46" t="n">
        <f aca="false" t="array" ref="AV51:AV51">SUMPRODUCT(($E$7:$E$78=AE51)*($U$7:$U$78)*($F$7:$F$78))+SUMPRODUCT(($H$7:$H$78=AE51)*($U$7:$U$78)*($G$7:$G$78))</f>
        <v>0</v>
      </c>
      <c r="AW51" s="46" t="n">
        <f aca="false" t="array" ref="AW51:AW51">SUMPRODUCT(($E$7:$E$78=AE51)*($U$7:$U$78)*($G$7:$G$78))+SUMPRODUCT(($H$7:$H$78=AE51)*($U$7:$U$78)*($F$7:$F$78))</f>
        <v>0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0</v>
      </c>
      <c r="BA51" s="46" t="n">
        <f aca="false">AZ51/AZ54</f>
        <v>0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0</v>
      </c>
      <c r="BD51" s="46" t="n">
        <f aca="false" t="array" ref="BD51:BD51">SUMPRODUCT(($E$7:$E$78=AE51)*($X$7:$X$78)*($F$7:$F$78))+SUMPRODUCT(($H$7:$H$78=AE51)*($X$7:$X$78)*($G$7:$G$78))</f>
        <v>0</v>
      </c>
      <c r="BE51" s="46" t="n">
        <f aca="false" t="array" ref="BE51:BE51">SUMPRODUCT(($E$7:$E$78=AE51)*($X$7:$X$78)*($G$7:$G$78))+SUMPRODUCT(($H$7:$H$78=AE51)*($X$7:$X$78)*($F$7:$F$78))</f>
        <v>0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0</v>
      </c>
      <c r="BI51" s="46" t="n">
        <f aca="false">BH51/BH54</f>
        <v>0</v>
      </c>
      <c r="BK51" s="83"/>
      <c r="BL51" s="88" t="str">
        <f aca="false">IF(group_round_completed,VLOOKUP('3rd places'!D3,AK80:AS91,9,FALSE()),"3rd Group C/E/F/H/I")</f>
        <v>3rd Group C/E/F/H/I</v>
      </c>
      <c r="BM51" s="89"/>
      <c r="BN51" s="90"/>
      <c r="BO51" s="91"/>
      <c r="BP51" s="92" t="str">
        <f aca="false">IF(BP50="","",BM51*1000+BN51*10+BO51)</f>
        <v/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3"/>
      <c r="BW51" s="97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7"/>
      <c r="CK51" s="97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79"/>
      <c r="G52" s="69"/>
      <c r="H52" s="70" t="str">
        <f aca="false">AE75</f>
        <v>Croatia</v>
      </c>
      <c r="J52" s="80" t="str">
        <f aca="false">VLOOKUP(2,AD50:AN53,2,FALSE())</f>
        <v>Uruguay</v>
      </c>
      <c r="K52" s="81" t="n">
        <f aca="false">L52+M52+N52</f>
        <v>0</v>
      </c>
      <c r="L52" s="81" t="n">
        <f aca="false">VLOOKUP(2,AD50:AN53,3,FALSE())</f>
        <v>0</v>
      </c>
      <c r="M52" s="81" t="n">
        <f aca="false">VLOOKUP(2,AD50:AN53,4,FALSE())</f>
        <v>0</v>
      </c>
      <c r="N52" s="81" t="n">
        <f aca="false">VLOOKUP(2,AD50:AN53,5,FALSE())</f>
        <v>0</v>
      </c>
      <c r="O52" s="81" t="str">
        <f aca="false">VLOOKUP(2,AD50:AN53,6,FALSE()) &amp; " - " &amp; VLOOKUP(2,AD50:AN53,7,FALSE())</f>
        <v>0 - 0</v>
      </c>
      <c r="P52" s="82" t="n">
        <f aca="false">L52*3+M52</f>
        <v>0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/>
      </c>
      <c r="T52" s="43" t="str">
        <f aca="false">IF(S52="","",IF(F52&lt;G52,H52&amp;"_win",IF(F52&gt;G52,H52&amp;"_lose",H52&amp;"_draw")))</f>
        <v/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str">
        <f aca="false">IF(OR(F52="",G52=""),"",IF(F52&gt;G52,1,IF(F52&lt;G52,-1,0)))</f>
        <v/>
      </c>
      <c r="AD52" s="42" t="n">
        <f aca="false">COUNTIF(AR50:AR53,CONCATENATE("&gt;=",AR52))</f>
        <v>3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0</v>
      </c>
      <c r="AH52" s="42" t="n">
        <f aca="false">COUNTIF($S$7:$T$78,"=" &amp; AE52 &amp; "_lose")</f>
        <v>0</v>
      </c>
      <c r="AI52" s="42" t="n">
        <f aca="false">SUMIF($E$7:$E$78,$AE52,$F$7:$F$78) + SUMIF($H$7:$H$78,$AE52,$G$7:$G$78)</f>
        <v>0</v>
      </c>
      <c r="AJ52" s="42" t="n">
        <f aca="false">SUMIF($E$7:$E$78,$AE52,$G$7:$G$78) + SUMIF($H$7:$H$78,$AE52,$F$7:$F$78)</f>
        <v>0</v>
      </c>
      <c r="AL52" s="42" t="n">
        <f aca="false">AI52-AJ52</f>
        <v>0</v>
      </c>
      <c r="AM52" s="42" t="n">
        <f aca="false">AL52-AL54</f>
        <v>0</v>
      </c>
      <c r="AN52" s="42" t="n">
        <f aca="false">AF52*3+AG52</f>
        <v>0</v>
      </c>
      <c r="AO52" s="42" t="n">
        <f aca="false">AN52/AN54*10+BA52</f>
        <v>0</v>
      </c>
      <c r="AP52" s="42" t="n">
        <f aca="false">AO52*10000000+BI52*100+AM52/AM54*10+AI52/AI54*1++IF(AQ52=0,ROW(),AQ52)/2000000</f>
        <v>0.000710715</v>
      </c>
      <c r="AQ52" s="46" t="n">
        <f aca="false">VLOOKUP(AE52,db_fifarank,2,FALSE())</f>
        <v>1421.43</v>
      </c>
      <c r="AR52" s="45" t="n">
        <f aca="false">AP52/AP54</f>
        <v>0.000710048832185643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0</v>
      </c>
      <c r="AV52" s="46" t="n">
        <f aca="false" t="array" ref="AV52:AV52">SUMPRODUCT(($E$7:$E$78=AE52)*($U$7:$U$78)*($F$7:$F$78))+SUMPRODUCT(($H$7:$H$78=AE52)*($U$7:$U$78)*($G$7:$G$78))</f>
        <v>0</v>
      </c>
      <c r="AW52" s="46" t="n">
        <f aca="false" t="array" ref="AW52:AW52">SUMPRODUCT(($E$7:$E$78=AE52)*($U$7:$U$78)*($G$7:$G$78))+SUMPRODUCT(($H$7:$H$78=AE52)*($U$7:$U$78)*($F$7:$F$78))</f>
        <v>0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0</v>
      </c>
      <c r="BA52" s="46" t="n">
        <f aca="false">AZ52/AZ54</f>
        <v>0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0</v>
      </c>
      <c r="BD52" s="46" t="n">
        <f aca="false" t="array" ref="BD52:BD52">SUMPRODUCT(($E$7:$E$78=AE52)*($X$7:$X$78)*($F$7:$F$78))+SUMPRODUCT(($H$7:$H$78=AE52)*($X$7:$X$78)*($G$7:$G$78))</f>
        <v>0</v>
      </c>
      <c r="BE52" s="46" t="n">
        <f aca="false" t="array" ref="BE52:BE52">SUMPRODUCT(($E$7:$E$78=AE52)*($X$7:$X$78)*($G$7:$G$78))+SUMPRODUCT(($H$7:$H$78=AE52)*($X$7:$X$78)*($F$7:$F$78))</f>
        <v>0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0</v>
      </c>
      <c r="BI52" s="46" t="n">
        <f aca="false">BH52/BH54</f>
        <v>0</v>
      </c>
      <c r="BK52" s="74"/>
      <c r="BL52" s="74"/>
      <c r="BM52" s="74"/>
      <c r="BN52" s="74"/>
      <c r="BO52" s="74"/>
      <c r="BP52" s="97"/>
      <c r="BQ52" s="47"/>
      <c r="BR52" s="83" t="n">
        <v>92</v>
      </c>
      <c r="BS52" s="84" t="str">
        <f aca="false">IF(BP50&gt;BP51,BL50,IF(BP50&lt;BP51,BL51,""))</f>
        <v/>
      </c>
      <c r="BT52" s="85"/>
      <c r="BU52" s="86"/>
      <c r="BV52" s="87"/>
      <c r="BW52" s="100" t="str">
        <f aca="false">IF(OR(BT52="",BT53="",AND(BU52="",BU53&lt;&gt;""),AND(BU53="",BU52&lt;&gt;""),AND(BV52="",BV53&lt;&gt;""),AND(BV53="",BV52&lt;&gt;"")),"",BT52*1000+BU52*10+BV52)</f>
        <v/>
      </c>
      <c r="BX52" s="47"/>
      <c r="BY52" s="74"/>
      <c r="BZ52" s="74"/>
      <c r="CA52" s="74"/>
      <c r="CB52" s="74"/>
      <c r="CC52" s="74"/>
      <c r="CD52" s="97"/>
      <c r="CK52" s="97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79"/>
      <c r="G53" s="69"/>
      <c r="H53" s="70" t="str">
        <f aca="false">AE70</f>
        <v>Uzbekistan</v>
      </c>
      <c r="J53" s="80" t="str">
        <f aca="false">VLOOKUP(3,AD50:AN53,2,FALSE())</f>
        <v>Saudi Arabia</v>
      </c>
      <c r="K53" s="81" t="n">
        <f aca="false">L53+M53+N53</f>
        <v>0</v>
      </c>
      <c r="L53" s="81" t="n">
        <f aca="false">VLOOKUP(3,AD50:AN53,3,FALSE())</f>
        <v>0</v>
      </c>
      <c r="M53" s="81" t="n">
        <f aca="false">VLOOKUP(3,AD50:AN53,4,FALSE())</f>
        <v>0</v>
      </c>
      <c r="N53" s="81" t="n">
        <f aca="false">VLOOKUP(3,AD50:AN53,5,FALSE())</f>
        <v>0</v>
      </c>
      <c r="O53" s="81" t="str">
        <f aca="false">VLOOKUP(3,AD50:AN53,6,FALSE()) &amp; " - " &amp; VLOOKUP(3,AD50:AN53,7,FALSE())</f>
        <v>0 - 0</v>
      </c>
      <c r="P53" s="82" t="n">
        <f aca="false">L53*3+M53</f>
        <v>0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/>
      </c>
      <c r="T53" s="43" t="str">
        <f aca="false">IF(S53="","",IF(F53&lt;G53,H53&amp;"_win",IF(F53&gt;G53,H53&amp;"_lose",H53&amp;"_draw")))</f>
        <v/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str">
        <f aca="false">IF(OR(F53="",G53=""),"",IF(F53&gt;G53,1,IF(F53&lt;G53,-1,0)))</f>
        <v/>
      </c>
      <c r="AD53" s="42" t="n">
        <f aca="false">COUNTIF(AR50:AR53,CONCATENATE("&gt;=",AR53))</f>
        <v>2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0</v>
      </c>
      <c r="AH53" s="42" t="n">
        <f aca="false">COUNTIF($S$7:$T$78,"=" &amp; AE53 &amp; "_lose")</f>
        <v>0</v>
      </c>
      <c r="AI53" s="42" t="n">
        <f aca="false">SUMIF($E$7:$E$78,$AE53,$F$7:$F$78) + SUMIF($H$7:$H$78,$AE53,$G$7:$G$78)</f>
        <v>0</v>
      </c>
      <c r="AJ53" s="42" t="n">
        <f aca="false">SUMIF($E$7:$E$78,$AE53,$G$7:$G$78) + SUMIF($H$7:$H$78,$AE53,$F$7:$F$78)</f>
        <v>0</v>
      </c>
      <c r="AL53" s="42" t="n">
        <f aca="false">AI53-AJ53</f>
        <v>0</v>
      </c>
      <c r="AM53" s="42" t="n">
        <f aca="false">AL53-AL54</f>
        <v>0</v>
      </c>
      <c r="AN53" s="42" t="n">
        <f aca="false">AF53*3+AG53</f>
        <v>0</v>
      </c>
      <c r="AO53" s="42" t="n">
        <f aca="false">AN53/AN54*10+BA53</f>
        <v>0</v>
      </c>
      <c r="AP53" s="42" t="n">
        <f aca="false">AO53*10000000+BI53*100+AM53/AM54*10+AI53/AI54*1++IF(AQ53=0,ROW(),AQ53)/2000000</f>
        <v>0.000836535</v>
      </c>
      <c r="AQ53" s="46" t="n">
        <f aca="false">VLOOKUP(AE53,db_fifarank,2,FALSE())</f>
        <v>1673.07</v>
      </c>
      <c r="AR53" s="45" t="n">
        <f aca="false">AP53/AP54</f>
        <v>0.000835750898507021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0</v>
      </c>
      <c r="AV53" s="46" t="n">
        <f aca="false" t="array" ref="AV53:AV53">SUMPRODUCT(($E$7:$E$78=AE53)*($U$7:$U$78)*($F$7:$F$78))+SUMPRODUCT(($H$7:$H$78=AE53)*($U$7:$U$78)*($G$7:$G$78))</f>
        <v>0</v>
      </c>
      <c r="AW53" s="46" t="n">
        <f aca="false" t="array" ref="AW53:AW53">SUMPRODUCT(($E$7:$E$78=AE53)*($U$7:$U$78)*($G$7:$G$78))+SUMPRODUCT(($H$7:$H$78=AE53)*($U$7:$U$78)*($F$7:$F$78))</f>
        <v>0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0</v>
      </c>
      <c r="BA53" s="46" t="n">
        <f aca="false">AZ53/AZ54</f>
        <v>0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0</v>
      </c>
      <c r="BD53" s="46" t="n">
        <f aca="false" t="array" ref="BD53:BD53">SUMPRODUCT(($E$7:$E$78=AE53)*($X$7:$X$78)*($F$7:$F$78))+SUMPRODUCT(($H$7:$H$78=AE53)*($X$7:$X$78)*($G$7:$G$78))</f>
        <v>0</v>
      </c>
      <c r="BE53" s="46" t="n">
        <f aca="false" t="array" ref="BE53:BE53">SUMPRODUCT(($E$7:$E$78=AE53)*($X$7:$X$78)*($G$7:$G$78))+SUMPRODUCT(($H$7:$H$78=AE53)*($X$7:$X$78)*($F$7:$F$78))</f>
        <v>0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0</v>
      </c>
      <c r="BI53" s="46" t="n">
        <f aca="false">BH53/BH54</f>
        <v>0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3"/>
      <c r="BP53" s="97" t="n">
        <f aca="false">DATE(2026,7,1)+TIME(5,0,0)+gmt_delta</f>
        <v>46204.5</v>
      </c>
      <c r="BQ53" s="98"/>
      <c r="BR53" s="83"/>
      <c r="BS53" s="88" t="str">
        <f aca="false">IF(BP54&gt;BP55,BL54,IF(BP54&lt;BP55,BL55,""))</f>
        <v/>
      </c>
      <c r="BT53" s="89"/>
      <c r="BU53" s="90"/>
      <c r="BV53" s="91"/>
      <c r="BW53" s="47" t="str">
        <f aca="false">IF(BW52="","",BT53*1000+BU53*10+BV53)</f>
        <v/>
      </c>
      <c r="BX53" s="47"/>
      <c r="BY53" s="74"/>
      <c r="BZ53" s="74"/>
      <c r="CA53" s="74"/>
      <c r="CB53" s="74"/>
      <c r="CC53" s="74"/>
      <c r="CD53" s="97"/>
      <c r="CK53" s="97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79"/>
      <c r="G54" s="69"/>
      <c r="H54" s="70" t="str">
        <f aca="false">AE69</f>
        <v>DR Congo</v>
      </c>
      <c r="J54" s="94" t="str">
        <f aca="false">VLOOKUP(4,AD50:AN53,2,FALSE())</f>
        <v>Cape Verde</v>
      </c>
      <c r="K54" s="95" t="n">
        <f aca="false">L54+M54+N54</f>
        <v>0</v>
      </c>
      <c r="L54" s="95" t="n">
        <f aca="false">VLOOKUP(4,AD50:AN53,3,FALSE())</f>
        <v>0</v>
      </c>
      <c r="M54" s="95" t="n">
        <f aca="false">VLOOKUP(4,AD50:AN53,4,FALSE())</f>
        <v>0</v>
      </c>
      <c r="N54" s="95" t="n">
        <f aca="false">VLOOKUP(4,AD50:AN53,5,FALSE())</f>
        <v>0</v>
      </c>
      <c r="O54" s="95" t="str">
        <f aca="false">VLOOKUP(4,AD50:AN53,6,FALSE()) &amp; " - " &amp; VLOOKUP(4,AD50:AN53,7,FALSE())</f>
        <v>0 - 0</v>
      </c>
      <c r="P54" s="96" t="n">
        <f aca="false">L54*3+M54</f>
        <v>0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/>
      </c>
      <c r="T54" s="43" t="str">
        <f aca="false">IF(S54="","",IF(F54&lt;G54,H54&amp;"_win",IF(F54&gt;G54,H54&amp;"_lose",H54&amp;"_draw")))</f>
        <v/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str">
        <f aca="false">IF(OR(F54="",G54=""),"",IF(F54&gt;G54,1,IF(F54&lt;G54,-1,0)))</f>
        <v/>
      </c>
      <c r="AF54" s="42" t="n">
        <f aca="false">MAX(AF50:AF53)-MIN(AF50:AF53)+1</f>
        <v>1</v>
      </c>
      <c r="AG54" s="42" t="n">
        <f aca="false">MAX(AG50:AG53)-MIN(AG50:AG53)+1</f>
        <v>1</v>
      </c>
      <c r="AH54" s="42" t="n">
        <f aca="false">MAX(AH50:AH53)-MIN(AH50:AH53)+1</f>
        <v>1</v>
      </c>
      <c r="AI54" s="42" t="n">
        <f aca="false">MAX(AI50:AI53)+1</f>
        <v>1</v>
      </c>
      <c r="AL54" s="42" t="n">
        <f aca="false">MIN(AL50:AL53)</f>
        <v>0</v>
      </c>
      <c r="AM54" s="42" t="n">
        <f aca="false">MAX(AM50:AM53)+1</f>
        <v>1</v>
      </c>
      <c r="AN54" s="42" t="n">
        <f aca="false">MAX(AN50:AN53)+1</f>
        <v>1</v>
      </c>
      <c r="AO54" s="42" t="n">
        <f aca="false">MAX(AO50:AO53)+1</f>
        <v>1</v>
      </c>
      <c r="AP54" s="42" t="n">
        <f aca="false">MAX(AP50:AP53)+1</f>
        <v>1.0009382</v>
      </c>
      <c r="AT54" s="46" t="n">
        <f aca="false">MAX(AT50:AT53)-MIN(AT50:AT53)+1</f>
        <v>1</v>
      </c>
      <c r="AU54" s="46" t="n">
        <f aca="false">MAX(AU50:AU53)-MIN(AU50:AU53)+1</f>
        <v>1</v>
      </c>
      <c r="AV54" s="46" t="n">
        <f aca="false">MAX(AV50:AV53)-MIN(AV50:AV53)+1</f>
        <v>1</v>
      </c>
      <c r="AW54" s="46" t="n">
        <f aca="false">MAX(AW50:AW53)-MIN(AW50:AW53)+1</f>
        <v>1</v>
      </c>
      <c r="AY54" s="46" t="n">
        <f aca="false">MAX(AY50:AY53)-MIN(AY50:AY53)+1</f>
        <v>1</v>
      </c>
      <c r="AZ54" s="46" t="n">
        <f aca="false">MAX(AZ50:AZ53)+1</f>
        <v>1</v>
      </c>
      <c r="BB54" s="46" t="n">
        <f aca="false">MAX(BB50:BB53)-MIN(BB50:BB53)+1</f>
        <v>1</v>
      </c>
      <c r="BC54" s="46" t="n">
        <f aca="false">MAX(BC50:BC53)-MIN(BC50:BC53)+1</f>
        <v>1</v>
      </c>
      <c r="BD54" s="46" t="n">
        <f aca="false">MAX(BD50:BD53)-MIN(BD50:BD53)+1</f>
        <v>1</v>
      </c>
      <c r="BE54" s="46" t="n">
        <f aca="false">MAX(BE50:BE53)-MIN(BE50:BE53)+1</f>
        <v>1</v>
      </c>
      <c r="BG54" s="46" t="n">
        <f aca="false">MAX(BG50:BG53)-MIN(BG50:BG53)+1</f>
        <v>1</v>
      </c>
      <c r="BH54" s="46" t="n">
        <f aca="false">MAX(BH50:BH53)+1</f>
        <v>1</v>
      </c>
      <c r="BK54" s="83" t="n">
        <v>80</v>
      </c>
      <c r="BL54" s="84" t="str">
        <f aca="false">AS74</f>
        <v>1L</v>
      </c>
      <c r="BM54" s="85"/>
      <c r="BN54" s="86"/>
      <c r="BO54" s="87"/>
      <c r="BP54" s="100" t="str">
        <f aca="false">IF(OR(BM54="",BM55="",AND(BN54="",BN55&lt;&gt;""),AND(BN55="",BN54&lt;&gt;""),AND(BO54="",BO55&lt;&gt;""),AND(BO55="",BO54&lt;&gt;"")),"",BM54*1000+BN54*10+BO54)</f>
        <v/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7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3"/>
      <c r="CK54" s="97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79"/>
      <c r="G55" s="69"/>
      <c r="H55" s="70" t="str">
        <f aca="false">AE20</f>
        <v>Brazil</v>
      </c>
      <c r="I55" s="104"/>
      <c r="J55" s="105"/>
      <c r="K55" s="106"/>
      <c r="L55" s="106"/>
      <c r="M55" s="106"/>
      <c r="N55" s="106"/>
      <c r="O55" s="106"/>
      <c r="P55" s="106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/>
      </c>
      <c r="T55" s="43" t="str">
        <f aca="false">IF(S55="","",IF(F55&lt;G55,H55&amp;"_win",IF(F55&gt;G55,H55&amp;"_lose",H55&amp;"_draw")))</f>
        <v/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str">
        <f aca="false">IF(OR(F55="",G55=""),"",IF(F55&gt;G55,1,IF(F55&lt;G55,-1,0)))</f>
        <v/>
      </c>
      <c r="BK55" s="83"/>
      <c r="BL55" s="88" t="str">
        <f aca="false">IF(group_round_completed,VLOOKUP('3rd places'!K3,AK80:AS91,9,FALSE()),"3rd Group E/H/I/J/K")</f>
        <v>3rd Group E/H/I/J/K</v>
      </c>
      <c r="BM55" s="89"/>
      <c r="BN55" s="90"/>
      <c r="BO55" s="91"/>
      <c r="BP55" s="47" t="str">
        <f aca="false">IF(BP54="","",BM55*1000+BN55*10+BO55)</f>
        <v/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7"/>
      <c r="CE55" s="47"/>
      <c r="CF55" s="83" t="n">
        <v>102</v>
      </c>
      <c r="CG55" s="84" t="str">
        <f aca="false">IF(CD48&gt;CD49,BZ48,IF(CD48&lt;CD49,BZ49,""))</f>
        <v/>
      </c>
      <c r="CH55" s="85"/>
      <c r="CI55" s="86"/>
      <c r="CJ55" s="87"/>
      <c r="CK55" s="100" t="str">
        <f aca="false">IF(OR(CH55="",CH56="",AND(CI55="",CI56&lt;&gt;""),AND(CI56="",CI55&lt;&gt;""),AND(CJ55="",CJ56&lt;&gt;""),AND(CJ56="",CJ55&lt;&gt;"")),"",CH55*1000+CI55*10+CJ55)</f>
        <v/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79"/>
      <c r="G56" s="69"/>
      <c r="H56" s="70" t="str">
        <f aca="false">AE22</f>
        <v>Haiti</v>
      </c>
      <c r="I56" s="104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/>
      </c>
      <c r="T56" s="43" t="str">
        <f aca="false">IF(S56="","",IF(F56&lt;G56,H56&amp;"_win",IF(F56&gt;G56,H56&amp;"_lose",H56&amp;"_draw")))</f>
        <v/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str">
        <f aca="false">IF(OR(F56="",G56=""),"",IF(F56&gt;G56,1,IF(F56&lt;G56,-1,0)))</f>
        <v/>
      </c>
      <c r="AD56" s="42" t="n">
        <f aca="false">COUNTIF(AR56:AR59,CONCATENATE("&gt;=",AR56))</f>
        <v>1</v>
      </c>
      <c r="AE56" s="44" t="str">
        <f aca="false">VLOOKUP("France",T,lang,FALSE())</f>
        <v>France</v>
      </c>
      <c r="AF56" s="42" t="n">
        <f aca="false">COUNTIF($S$7:$T$78,"=" &amp; AE56 &amp; "_win")</f>
        <v>0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0</v>
      </c>
      <c r="AJ56" s="42" t="n">
        <f aca="false">SUMIF($E$7:$E$78,$AE56,$G$7:$G$78) + SUMIF($H$7:$H$78,$AE56,$F$7:$F$78)</f>
        <v>0</v>
      </c>
      <c r="AL56" s="42" t="n">
        <f aca="false">AI56-AJ56</f>
        <v>0</v>
      </c>
      <c r="AM56" s="42" t="n">
        <f aca="false">AL56-AL60</f>
        <v>0</v>
      </c>
      <c r="AN56" s="42" t="n">
        <f aca="false">AF56*3+AG56</f>
        <v>0</v>
      </c>
      <c r="AO56" s="42" t="n">
        <f aca="false">AN56/AN60*10+BA56</f>
        <v>0</v>
      </c>
      <c r="AP56" s="42" t="n">
        <f aca="false">AO56*10000000+BI56*100+AM56/AM60*10+AI56/AI60*1++IF(AQ56=0,ROW(),AQ56)/2000000</f>
        <v>0.00093866</v>
      </c>
      <c r="AQ56" s="46" t="n">
        <f aca="false">VLOOKUP(AE56,db_fifarank,2,FALSE())</f>
        <v>1877.32</v>
      </c>
      <c r="AR56" s="45" t="n">
        <f aca="false">AP56/AP60</f>
        <v>0.000937779743665811</v>
      </c>
      <c r="AS56" s="45" t="str">
        <f aca="false">IF(SUM(AF56:AH59)=12,J57,"1I")</f>
        <v>1I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7"/>
      <c r="CE56" s="98"/>
      <c r="CF56" s="83"/>
      <c r="CG56" s="88" t="str">
        <f aca="false">IF(CD64&gt;CD65,BZ64,IF(CD64&lt;CD65,BZ65,""))</f>
        <v/>
      </c>
      <c r="CH56" s="89"/>
      <c r="CI56" s="90"/>
      <c r="CJ56" s="91"/>
      <c r="CK56" s="47" t="str">
        <f aca="false">IF(CK55="","",CH56*1000+CI56*10+CJ56)</f>
        <v/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79"/>
      <c r="G57" s="69"/>
      <c r="H57" s="70" t="str">
        <f aca="false">AE14</f>
        <v>Canada</v>
      </c>
      <c r="I57" s="104"/>
      <c r="J57" s="75" t="str">
        <f aca="false">VLOOKUP(1,AD56:AN59,2,FALSE())</f>
        <v>France</v>
      </c>
      <c r="K57" s="76" t="n">
        <f aca="false">L57+M57+N57</f>
        <v>0</v>
      </c>
      <c r="L57" s="76" t="n">
        <f aca="false">VLOOKUP(1,AD56:AN59,3,FALSE())</f>
        <v>0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0 - 0</v>
      </c>
      <c r="P57" s="77" t="n">
        <f aca="false">L57*3+M57</f>
        <v>0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/>
      </c>
      <c r="T57" s="43" t="str">
        <f aca="false">IF(S57="","",IF(F57&lt;G57,H57&amp;"_win",IF(F57&gt;G57,H57&amp;"_lose",H57&amp;"_draw")))</f>
        <v/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str">
        <f aca="false">IF(OR(F57="",G57=""),"",IF(F57&gt;G57,1,IF(F57&lt;G57,-1,0)))</f>
        <v/>
      </c>
      <c r="AD57" s="42" t="n">
        <f aca="false">COUNTIF(AR56:AR59,CONCATENATE("&gt;=",AR57))</f>
        <v>2</v>
      </c>
      <c r="AE57" s="44" t="str">
        <f aca="false">VLOOKUP("Senegal",T,lang,FALSE())</f>
        <v>Senegal</v>
      </c>
      <c r="AF57" s="42" t="n">
        <f aca="false">COUNTIF($S$7:$T$78,"=" &amp; AE57 &amp; "_win")</f>
        <v>0</v>
      </c>
      <c r="AG57" s="42" t="n">
        <f aca="false">COUNTIF($S$7:$T$78,"=" &amp; AE57 &amp; "_draw")</f>
        <v>0</v>
      </c>
      <c r="AH57" s="42" t="n">
        <f aca="false">COUNTIF($S$7:$T$78,"=" &amp; AE57 &amp; "_lose")</f>
        <v>0</v>
      </c>
      <c r="AI57" s="42" t="n">
        <f aca="false">SUMIF($E$7:$E$78,$AE57,$F$7:$F$78) + SUMIF($H$7:$H$78,$AE57,$G$7:$G$78)</f>
        <v>0</v>
      </c>
      <c r="AJ57" s="42" t="n">
        <f aca="false">SUMIF($E$7:$E$78,$AE57,$G$7:$G$78) + SUMIF($H$7:$H$78,$AE57,$F$7:$F$78)</f>
        <v>0</v>
      </c>
      <c r="AL57" s="42" t="n">
        <f aca="false">AI57-AJ57</f>
        <v>0</v>
      </c>
      <c r="AM57" s="42" t="n">
        <f aca="false">AL57-AL60</f>
        <v>0</v>
      </c>
      <c r="AN57" s="42" t="n">
        <f aca="false">AF57*3+AG57</f>
        <v>0</v>
      </c>
      <c r="AO57" s="42" t="n">
        <f aca="false">AN57/AN60*10+BA57</f>
        <v>0</v>
      </c>
      <c r="AP57" s="42" t="n">
        <f aca="false">AO57*10000000+BI57*100+AM57/AM60*10+AI57/AI60*1++IF(AQ57=0,ROW(),AQ57)/2000000</f>
        <v>0.000844495</v>
      </c>
      <c r="AQ57" s="46" t="n">
        <f aca="false">VLOOKUP(AE57,db_fifarank,2,FALSE())</f>
        <v>1688.99</v>
      </c>
      <c r="AR57" s="45" t="n">
        <f aca="false">AP57/AP60</f>
        <v>0.000843703049695373</v>
      </c>
      <c r="AS57" s="45" t="str">
        <f aca="false">IF(SUM(AF56:AH59)=12,J58,"2I")</f>
        <v>2I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2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7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79"/>
      <c r="G58" s="69"/>
      <c r="H58" s="70" t="str">
        <f aca="false">AE16</f>
        <v>Qatar</v>
      </c>
      <c r="I58" s="104"/>
      <c r="J58" s="80" t="str">
        <f aca="false">VLOOKUP(2,AD56:AN59,2,FALSE())</f>
        <v>Senegal</v>
      </c>
      <c r="K58" s="81" t="n">
        <f aca="false">L58+M58+N58</f>
        <v>0</v>
      </c>
      <c r="L58" s="81" t="n">
        <f aca="false">VLOOKUP(2,AD56:AN59,3,FALSE())</f>
        <v>0</v>
      </c>
      <c r="M58" s="81" t="n">
        <f aca="false">VLOOKUP(2,AD56:AN59,4,FALSE())</f>
        <v>0</v>
      </c>
      <c r="N58" s="81" t="n">
        <f aca="false">VLOOKUP(2,AD56:AN59,5,FALSE())</f>
        <v>0</v>
      </c>
      <c r="O58" s="81" t="str">
        <f aca="false">VLOOKUP(2,AD56:AN59,6,FALSE()) &amp; " - " &amp; VLOOKUP(2,AD56:AN59,7,FALSE())</f>
        <v>0 - 0</v>
      </c>
      <c r="P58" s="82" t="n">
        <f aca="false">L58*3+M58</f>
        <v>0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/>
      </c>
      <c r="T58" s="43" t="str">
        <f aca="false">IF(S58="","",IF(F58&lt;G58,H58&amp;"_win",IF(F58&gt;G58,H58&amp;"_lose",H58&amp;"_draw")))</f>
        <v/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str">
        <f aca="false">IF(OR(F58="",G58=""),"",IF(F58&gt;G58,1,IF(F58&lt;G58,-1,0)))</f>
        <v/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0</v>
      </c>
      <c r="AI58" s="42" t="n">
        <f aca="false">SUMIF($E$7:$E$78,$AE58,$F$7:$F$78) + SUMIF($H$7:$H$78,$AE58,$G$7:$G$78)</f>
        <v>0</v>
      </c>
      <c r="AJ58" s="42" t="n">
        <f aca="false">SUMIF($E$7:$E$78,$AE58,$G$7:$G$78) + SUMIF($H$7:$H$78,$AE58,$F$7:$F$78)</f>
        <v>0</v>
      </c>
      <c r="AL58" s="42" t="n">
        <f aca="false">AI58-AJ58</f>
        <v>0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0.00072357</v>
      </c>
      <c r="AQ58" s="46" t="n">
        <f aca="false">VLOOKUP(AE58,db_fifarank,2,FALSE())</f>
        <v>1447.14</v>
      </c>
      <c r="AR58" s="45" t="n">
        <f aca="false">AP58/AP60</f>
        <v>0.000722891450710876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3" t="n">
        <v>86</v>
      </c>
      <c r="BL58" s="84" t="str">
        <f aca="false">AS62</f>
        <v>1J</v>
      </c>
      <c r="BM58" s="85"/>
      <c r="BN58" s="86"/>
      <c r="BO58" s="87"/>
      <c r="BP58" s="47" t="str">
        <f aca="false">IF(OR(BM58="",BM59="",AND(BN58="",BN59&lt;&gt;""),AND(BN59="",BN58&lt;&gt;""),AND(BO58="",BO59&lt;&gt;""),AND(BO59="",BO58&lt;&gt;"")),"",BM58*1000+BN58*10+BO58)</f>
        <v/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7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79"/>
      <c r="G59" s="69"/>
      <c r="H59" s="70" t="str">
        <f aca="false">AE8</f>
        <v>Mexico</v>
      </c>
      <c r="I59" s="104"/>
      <c r="J59" s="80" t="str">
        <f aca="false">VLOOKUP(3,AD56:AN59,2,FALSE())</f>
        <v>Norway</v>
      </c>
      <c r="K59" s="81" t="n">
        <f aca="false">L59+M59+N59</f>
        <v>0</v>
      </c>
      <c r="L59" s="81" t="n">
        <f aca="false">VLOOKUP(3,AD56:AN59,3,FALSE())</f>
        <v>0</v>
      </c>
      <c r="M59" s="81" t="n">
        <f aca="false">VLOOKUP(3,AD56:AN59,4,FALSE())</f>
        <v>0</v>
      </c>
      <c r="N59" s="81" t="n">
        <f aca="false">VLOOKUP(3,AD56:AN59,5,FALSE())</f>
        <v>0</v>
      </c>
      <c r="O59" s="81" t="str">
        <f aca="false">VLOOKUP(3,AD56:AN59,6,FALSE()) &amp; " - " &amp; VLOOKUP(3,AD56:AN59,7,FALSE())</f>
        <v>0 - 0</v>
      </c>
      <c r="P59" s="82" t="n">
        <f aca="false">L59*3+M59</f>
        <v>0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/>
      </c>
      <c r="T59" s="43" t="str">
        <f aca="false">IF(S59="","",IF(F59&lt;G59,H59&amp;"_win",IF(F59&gt;G59,H59&amp;"_lose",H59&amp;"_draw")))</f>
        <v/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str">
        <f aca="false">IF(OR(F59="",G59=""),"",IF(F59&gt;G59,1,IF(F59&lt;G59,-1,0)))</f>
        <v/>
      </c>
      <c r="AD59" s="42" t="n">
        <f aca="false">COUNTIF(AR56:AR59,CONCATENATE("&gt;=",AR59))</f>
        <v>3</v>
      </c>
      <c r="AE59" s="44" t="str">
        <f aca="false">VLOOKUP("Norway",T,lang,FALSE())</f>
        <v>Norway</v>
      </c>
      <c r="AF59" s="42" t="n">
        <f aca="false">COUNTIF($S$7:$T$78,"=" &amp; AE59 &amp; "_win")</f>
        <v>0</v>
      </c>
      <c r="AG59" s="42" t="n">
        <f aca="false">COUNTIF($S$7:$T$78,"=" &amp; AE59 &amp; "_draw")</f>
        <v>0</v>
      </c>
      <c r="AH59" s="42" t="n">
        <f aca="false">COUNTIF($S$7:$T$78,"=" &amp; AE59 &amp; "_lose")</f>
        <v>0</v>
      </c>
      <c r="AI59" s="42" t="n">
        <f aca="false">SUMIF($E$7:$E$78,$AE59,$F$7:$F$78) + SUMIF($H$7:$H$78,$AE59,$G$7:$G$78)</f>
        <v>0</v>
      </c>
      <c r="AJ59" s="42" t="n">
        <f aca="false">SUMIF($E$7:$E$78,$AE59,$G$7:$G$78) + SUMIF($H$7:$H$78,$AE59,$F$7:$F$78)</f>
        <v>0</v>
      </c>
      <c r="AL59" s="42" t="n">
        <f aca="false">AI59-AJ59</f>
        <v>0</v>
      </c>
      <c r="AM59" s="42" t="n">
        <f aca="false">AL59-AL60</f>
        <v>0</v>
      </c>
      <c r="AN59" s="42" t="n">
        <f aca="false">AF59*3+AG59</f>
        <v>0</v>
      </c>
      <c r="AO59" s="42" t="n">
        <f aca="false">AN59/AN60*10+BA59</f>
        <v>0</v>
      </c>
      <c r="AP59" s="42" t="n">
        <f aca="false">AO59*10000000+BI59*100+AM59/AM60*10+AI59/AI60*1++IF(AQ59=0,ROW(),AQ59)/2000000</f>
        <v>0.00077547</v>
      </c>
      <c r="AQ59" s="46" t="n">
        <f aca="false">VLOOKUP(AE59,db_fifarank,2,FALSE())</f>
        <v>1550.94</v>
      </c>
      <c r="AR59" s="45" t="n">
        <f aca="false">AP59/AP60</f>
        <v>0.000774742779942179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3"/>
      <c r="BL59" s="88" t="str">
        <f aca="false">AS51</f>
        <v>2H</v>
      </c>
      <c r="BM59" s="89"/>
      <c r="BN59" s="90"/>
      <c r="BO59" s="91"/>
      <c r="BP59" s="92" t="str">
        <f aca="false">IF(BP58="","",BM59*1000+BN59*10+BO59)</f>
        <v/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3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7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79"/>
      <c r="G60" s="69"/>
      <c r="H60" s="70" t="str">
        <f aca="false">AE10</f>
        <v>Korea Republic</v>
      </c>
      <c r="I60" s="104"/>
      <c r="J60" s="94" t="str">
        <f aca="false">VLOOKUP(4,AD56:AN59,2,FALSE())</f>
        <v>Iraq</v>
      </c>
      <c r="K60" s="95" t="n">
        <f aca="false">L60+M60+N60</f>
        <v>0</v>
      </c>
      <c r="L60" s="95" t="n">
        <f aca="false">VLOOKUP(4,AD56:AN59,3,FALSE())</f>
        <v>0</v>
      </c>
      <c r="M60" s="95" t="n">
        <f aca="false">VLOOKUP(4,AD56:AN59,4,FALSE())</f>
        <v>0</v>
      </c>
      <c r="N60" s="95" t="n">
        <f aca="false">VLOOKUP(4,AD56:AN59,5,FALSE())</f>
        <v>0</v>
      </c>
      <c r="O60" s="95" t="str">
        <f aca="false">VLOOKUP(4,AD56:AN59,6,FALSE()) &amp; " - " &amp; VLOOKUP(4,AD56:AN59,7,FALSE())</f>
        <v>0 - 0</v>
      </c>
      <c r="P60" s="96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/>
      </c>
      <c r="T60" s="43" t="str">
        <f aca="false">IF(S60="","",IF(F60&lt;G60,H60&amp;"_win",IF(F60&gt;G60,H60&amp;"_lose",H60&amp;"_draw")))</f>
        <v/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str">
        <f aca="false">IF(OR(F60="",G60=""),"",IF(F60&gt;G60,1,IF(F60&lt;G60,-1,0)))</f>
        <v/>
      </c>
      <c r="AF60" s="42" t="n">
        <f aca="false">MAX(AF56:AF59)-MIN(AF56:AF59)+1</f>
        <v>1</v>
      </c>
      <c r="AG60" s="42" t="n">
        <f aca="false">MAX(AG56:AG59)-MIN(AG56:AG59)+1</f>
        <v>1</v>
      </c>
      <c r="AH60" s="42" t="n">
        <f aca="false">MAX(AH56:AH59)-MIN(AH56:AH59)+1</f>
        <v>1</v>
      </c>
      <c r="AI60" s="42" t="n">
        <f aca="false">MAX(AI56:AI59)+1</f>
        <v>1</v>
      </c>
      <c r="AL60" s="42" t="n">
        <f aca="false">MIN(AL56:AL59)</f>
        <v>0</v>
      </c>
      <c r="AM60" s="42" t="n">
        <f aca="false">MAX(AM56:AM59)+1</f>
        <v>1</v>
      </c>
      <c r="AN60" s="42" t="n">
        <f aca="false">MAX(AN56:AN59)+1</f>
        <v>1</v>
      </c>
      <c r="AO60" s="42" t="n">
        <f aca="false">MAX(AO56:AO59)+1</f>
        <v>1</v>
      </c>
      <c r="AP60" s="42" t="n">
        <f aca="false">MAX(AP56:AP59)+1</f>
        <v>1.00093866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7"/>
      <c r="BQ60" s="47"/>
      <c r="BR60" s="83" t="n">
        <v>95</v>
      </c>
      <c r="BS60" s="84" t="str">
        <f aca="false">IF(BP58&gt;BP59,BL58,IF(BP58&lt;BP59,BL59,""))</f>
        <v/>
      </c>
      <c r="BT60" s="85"/>
      <c r="BU60" s="86"/>
      <c r="BV60" s="87"/>
      <c r="BW60" s="47" t="str">
        <f aca="false">IF(OR(BT60="",BT61="",AND(BU60="",BU61&lt;&gt;""),AND(BU61="",BU60&lt;&gt;""),AND(BV60="",BV61&lt;&gt;""),AND(BV61="",BV60&lt;&gt;"")),"",BT60*1000+BU60*10+BV60)</f>
        <v/>
      </c>
      <c r="BX60" s="47"/>
      <c r="BY60" s="74"/>
      <c r="BZ60" s="74"/>
      <c r="CA60" s="74"/>
      <c r="CB60" s="74"/>
      <c r="CC60" s="74"/>
      <c r="CD60" s="97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79"/>
      <c r="G61" s="69"/>
      <c r="H61" s="70" t="str">
        <f aca="false">AE34</f>
        <v>Ivory Coast</v>
      </c>
      <c r="I61" s="104"/>
      <c r="J61" s="105"/>
      <c r="K61" s="106"/>
      <c r="L61" s="106"/>
      <c r="M61" s="106"/>
      <c r="N61" s="106"/>
      <c r="O61" s="106"/>
      <c r="P61" s="106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/>
      </c>
      <c r="T61" s="43" t="str">
        <f aca="false">IF(S61="","",IF(F61&lt;G61,H61&amp;"_win",IF(F61&gt;G61,H61&amp;"_lose",H61&amp;"_draw")))</f>
        <v/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str">
        <f aca="false">IF(OR(F61="",G61=""),"",IF(F61&gt;G61,1,IF(F61&lt;G61,-1,0)))</f>
        <v/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3"/>
      <c r="BP61" s="97" t="n">
        <f aca="false">DATE(2026,7,3)+TIME(7,0,0)+gmt_delta</f>
        <v>46206.5833333333</v>
      </c>
      <c r="BQ61" s="98"/>
      <c r="BR61" s="83"/>
      <c r="BS61" s="88" t="str">
        <f aca="false">IF(BP62&gt;BP63,BL62,IF(BP62&lt;BP63,BL63,""))</f>
        <v/>
      </c>
      <c r="BT61" s="89"/>
      <c r="BU61" s="90"/>
      <c r="BV61" s="91"/>
      <c r="BW61" s="92" t="str">
        <f aca="false">IF(BW60="","",BT61*1000+BU61*10+BV61)</f>
        <v/>
      </c>
      <c r="BX61" s="47"/>
      <c r="BY61" s="74"/>
      <c r="BZ61" s="74"/>
      <c r="CA61" s="74"/>
      <c r="CB61" s="74"/>
      <c r="CC61" s="74"/>
      <c r="CD61" s="97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79"/>
      <c r="G62" s="69"/>
      <c r="H62" s="70" t="str">
        <f aca="false">AE32</f>
        <v>Germany</v>
      </c>
      <c r="I62" s="104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/>
      </c>
      <c r="T62" s="43" t="str">
        <f aca="false">IF(S62="","",IF(F62&lt;G62,H62&amp;"_win",IF(F62&gt;G62,H62&amp;"_lose",H62&amp;"_draw")))</f>
        <v/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str">
        <f aca="false">IF(OR(F62="",G62=""),"",IF(F62&gt;G62,1,IF(F62&lt;G62,-1,0)))</f>
        <v/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0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0</v>
      </c>
      <c r="AJ62" s="42" t="n">
        <f aca="false">SUMIF($E$7:$E$78,$AE62,$G$7:$G$78) + SUMIF($H$7:$H$78,$AE62,$F$7:$F$78)</f>
        <v>0</v>
      </c>
      <c r="AL62" s="42" t="n">
        <f aca="false">AI62-AJ62</f>
        <v>0</v>
      </c>
      <c r="AM62" s="42" t="n">
        <f aca="false">AL62-AL66</f>
        <v>0</v>
      </c>
      <c r="AN62" s="42" t="n">
        <f aca="false">AF62*3+AG62</f>
        <v>0</v>
      </c>
      <c r="AO62" s="42" t="n">
        <f aca="false">AN62/AN66*10+BA62</f>
        <v>0</v>
      </c>
      <c r="AP62" s="42" t="n">
        <f aca="false">AO62*10000000+BI62*100+AM62/AM66*10+AI62/AI66*1++IF(AQ62=0,ROW(),AQ62)/2000000</f>
        <v>0.00093741</v>
      </c>
      <c r="AQ62" s="46" t="n">
        <f aca="false">VLOOKUP(AE62,db_fifarank,2,FALSE())</f>
        <v>1874.82</v>
      </c>
      <c r="AR62" s="45" t="n">
        <f aca="false">AP62/AP66</f>
        <v>0.000936532085457771</v>
      </c>
      <c r="AS62" s="45" t="str">
        <f aca="false">IF(SUM(AF62:AH65)=12,J63,"1J")</f>
        <v>1J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3" t="n">
        <v>88</v>
      </c>
      <c r="BL62" s="84" t="str">
        <f aca="false">AS27</f>
        <v>2D</v>
      </c>
      <c r="BM62" s="85"/>
      <c r="BN62" s="86"/>
      <c r="BO62" s="87"/>
      <c r="BP62" s="100" t="str">
        <f aca="false">IF(OR(BM62="",BM63="",AND(BN62="",BN63&lt;&gt;""),AND(BN63="",BN62&lt;&gt;""),AND(BO62="",BO63&lt;&gt;""),AND(BO63="",BO62&lt;&gt;"")),"",BM62*1000+BN62*10+BO62)</f>
        <v/>
      </c>
      <c r="BQ62" s="47"/>
      <c r="BR62" s="74"/>
      <c r="BS62" s="74"/>
      <c r="BT62" s="74"/>
      <c r="BU62" s="74"/>
      <c r="BV62" s="74"/>
      <c r="BW62" s="97"/>
      <c r="BX62" s="47"/>
      <c r="BY62" s="74"/>
      <c r="BZ62" s="74"/>
      <c r="CA62" s="74"/>
      <c r="CB62" s="74"/>
      <c r="CC62" s="74"/>
      <c r="CD62" s="97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79"/>
      <c r="G63" s="69"/>
      <c r="H63" s="70" t="str">
        <f aca="false">AE40</f>
        <v>Sweden</v>
      </c>
      <c r="I63" s="104"/>
      <c r="J63" s="75" t="str">
        <f aca="false">VLOOKUP(1,AD62:AN65,2,FALSE())</f>
        <v>Argentina</v>
      </c>
      <c r="K63" s="76" t="n">
        <f aca="false">L63+M63+N63</f>
        <v>0</v>
      </c>
      <c r="L63" s="76" t="n">
        <f aca="false">VLOOKUP(1,AD62:AN65,3,FALSE())</f>
        <v>0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0 - 0</v>
      </c>
      <c r="P63" s="77" t="n">
        <f aca="false">L63*3+M63</f>
        <v>0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/>
      </c>
      <c r="T63" s="43" t="str">
        <f aca="false">IF(S63="","",IF(F63&lt;G63,H63&amp;"_win",IF(F63&gt;G63,H63&amp;"_lose",H63&amp;"_draw")))</f>
        <v/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str">
        <f aca="false">IF(OR(F63="",G63=""),"",IF(F63&gt;G63,1,IF(F63&lt;G63,-1,0)))</f>
        <v/>
      </c>
      <c r="AD63" s="42" t="n">
        <f aca="false">COUNTIF(AR62:AR65,CONCATENATE("&gt;=",AR63))</f>
        <v>3</v>
      </c>
      <c r="AE63" s="44" t="str">
        <f aca="false">VLOOKUP("Algeria",T,lang,FALSE())</f>
        <v>Algeria</v>
      </c>
      <c r="AF63" s="42" t="n">
        <f aca="false">COUNTIF($S$7:$T$78,"=" &amp; AE63 &amp; "_win")</f>
        <v>0</v>
      </c>
      <c r="AG63" s="42" t="n">
        <f aca="false">COUNTIF($S$7:$T$78,"=" &amp; AE63 &amp; "_draw")</f>
        <v>0</v>
      </c>
      <c r="AH63" s="42" t="n">
        <f aca="false">COUNTIF($S$7:$T$78,"=" &amp; AE63 &amp; "_lose")</f>
        <v>0</v>
      </c>
      <c r="AI63" s="42" t="n">
        <f aca="false">SUMIF($E$7:$E$78,$AE63,$F$7:$F$78) + SUMIF($H$7:$H$78,$AE63,$G$7:$G$78)</f>
        <v>0</v>
      </c>
      <c r="AJ63" s="42" t="n">
        <f aca="false">SUMIF($E$7:$E$78,$AE63,$G$7:$G$78) + SUMIF($H$7:$H$78,$AE63,$F$7:$F$78)</f>
        <v>0</v>
      </c>
      <c r="AL63" s="42" t="n">
        <f aca="false">AI63-AJ63</f>
        <v>0</v>
      </c>
      <c r="AM63" s="42" t="n">
        <f aca="false">AL63-AL66</f>
        <v>0</v>
      </c>
      <c r="AN63" s="42" t="n">
        <f aca="false">AF63*3+AG63</f>
        <v>0</v>
      </c>
      <c r="AO63" s="42" t="n">
        <f aca="false">AN63/AN66*10+BA63</f>
        <v>0</v>
      </c>
      <c r="AP63" s="42" t="n">
        <f aca="false">AO63*10000000+BI63*100+AM63/AM66*10+AI63/AI66*1++IF(AQ63=0,ROW(),AQ63)/2000000</f>
        <v>0.00078213</v>
      </c>
      <c r="AQ63" s="46" t="n">
        <f aca="false">VLOOKUP(AE63,db_fifarank,2,FALSE())</f>
        <v>1564.26</v>
      </c>
      <c r="AR63" s="45" t="n">
        <f aca="false">AP63/AP66</f>
        <v>0.000781397510160001</v>
      </c>
      <c r="AS63" s="45" t="str">
        <f aca="false">IF(SUM(AF62:AH65)=12,J64,"2J")</f>
        <v>2J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0</v>
      </c>
      <c r="AV63" s="46" t="n">
        <f aca="false" t="array" ref="AV63:AV63">SUMPRODUCT(($E$7:$E$78=AE63)*($U$7:$U$78)*($F$7:$F$78))+SUMPRODUCT(($H$7:$H$78=AE63)*($U$7:$U$78)*($G$7:$G$78))</f>
        <v>0</v>
      </c>
      <c r="AW63" s="46" t="n">
        <f aca="false" t="array" ref="AW63:AW63">SUMPRODUCT(($E$7:$E$78=AE63)*($U$7:$U$78)*($G$7:$G$78))+SUMPRODUCT(($H$7:$H$78=AE63)*($U$7:$U$78)*($F$7:$F$78))</f>
        <v>0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0</v>
      </c>
      <c r="BA63" s="46" t="n">
        <f aca="false">AZ63/AZ66</f>
        <v>0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0</v>
      </c>
      <c r="BD63" s="46" t="n">
        <f aca="false" t="array" ref="BD63:BD63">SUMPRODUCT(($E$7:$E$78=AE63)*($X$7:$X$78)*($F$7:$F$78))+SUMPRODUCT(($H$7:$H$78=AE63)*($X$7:$X$78)*($G$7:$G$78))</f>
        <v>0</v>
      </c>
      <c r="BE63" s="46" t="n">
        <f aca="false" t="array" ref="BE63:BE63">SUMPRODUCT(($E$7:$E$78=AE63)*($X$7:$X$78)*($G$7:$G$78))+SUMPRODUCT(($H$7:$H$78=AE63)*($X$7:$X$78)*($F$7:$F$78))</f>
        <v>0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0</v>
      </c>
      <c r="BI63" s="46" t="n">
        <f aca="false">BH63/BH66</f>
        <v>0</v>
      </c>
      <c r="BK63" s="83"/>
      <c r="BL63" s="88" t="str">
        <f aca="false">AS45</f>
        <v>2G</v>
      </c>
      <c r="BM63" s="89"/>
      <c r="BN63" s="90"/>
      <c r="BO63" s="91"/>
      <c r="BP63" s="47" t="str">
        <f aca="false">IF(BP62="","",BM63*1000+BN63*10+BO63)</f>
        <v/>
      </c>
      <c r="BQ63" s="47"/>
      <c r="BR63" s="74"/>
      <c r="BS63" s="74"/>
      <c r="BT63" s="74"/>
      <c r="BU63" s="74"/>
      <c r="BV63" s="74"/>
      <c r="BW63" s="97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3"/>
      <c r="CD63" s="97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79"/>
      <c r="G64" s="69"/>
      <c r="H64" s="70" t="str">
        <f aca="false">AE38</f>
        <v>Netherlands</v>
      </c>
      <c r="I64" s="104"/>
      <c r="J64" s="80" t="str">
        <f aca="false">VLOOKUP(2,AD62:AN65,2,FALSE())</f>
        <v>Austria</v>
      </c>
      <c r="K64" s="81" t="n">
        <f aca="false">L64+M64+N64</f>
        <v>0</v>
      </c>
      <c r="L64" s="81" t="n">
        <f aca="false">VLOOKUP(2,AD62:AN65,3,FALSE())</f>
        <v>0</v>
      </c>
      <c r="M64" s="81" t="n">
        <f aca="false">VLOOKUP(2,AD62:AN65,4,FALSE())</f>
        <v>0</v>
      </c>
      <c r="N64" s="81" t="n">
        <f aca="false">VLOOKUP(2,AD62:AN65,5,FALSE())</f>
        <v>0</v>
      </c>
      <c r="O64" s="81" t="str">
        <f aca="false">VLOOKUP(2,AD62:AN65,6,FALSE()) &amp; " - " &amp; VLOOKUP(2,AD62:AN65,7,FALSE())</f>
        <v>0 - 0</v>
      </c>
      <c r="P64" s="82" t="n">
        <f aca="false">L64*3+M64</f>
        <v>0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/>
      </c>
      <c r="T64" s="43" t="str">
        <f aca="false">IF(S64="","",IF(F64&lt;G64,H64&amp;"_win",IF(F64&gt;G64,H64&amp;"_lose",H64&amp;"_draw")))</f>
        <v/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str">
        <f aca="false">IF(OR(F64="",G64=""),"",IF(F64&gt;G64,1,IF(F64&lt;G64,-1,0)))</f>
        <v/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0</v>
      </c>
      <c r="AG64" s="42" t="n">
        <f aca="false">COUNTIF($S$7:$T$78,"=" &amp; AE64 &amp; "_draw")</f>
        <v>0</v>
      </c>
      <c r="AH64" s="42" t="n">
        <f aca="false">COUNTIF($S$7:$T$78,"=" &amp; AE64 &amp; "_lose")</f>
        <v>0</v>
      </c>
      <c r="AI64" s="42" t="n">
        <f aca="false">SUMIF($E$7:$E$78,$AE64,$F$7:$F$78) + SUMIF($H$7:$H$78,$AE64,$G$7:$G$78)</f>
        <v>0</v>
      </c>
      <c r="AJ64" s="42" t="n">
        <f aca="false">SUMIF($E$7:$E$78,$AE64,$G$7:$G$78) + SUMIF($H$7:$H$78,$AE64,$F$7:$F$78)</f>
        <v>0</v>
      </c>
      <c r="AL64" s="42" t="n">
        <f aca="false">AI64-AJ64</f>
        <v>0</v>
      </c>
      <c r="AM64" s="42" t="n">
        <f aca="false">AL64-AL66</f>
        <v>0</v>
      </c>
      <c r="AN64" s="42" t="n">
        <f aca="false">AF64*3+AG64</f>
        <v>0</v>
      </c>
      <c r="AO64" s="42" t="n">
        <f aca="false">AN64/AN66*10+BA64</f>
        <v>0</v>
      </c>
      <c r="AP64" s="42" t="n">
        <f aca="false">AO64*10000000+BI64*100+AM64/AM66*10+AI64/AI66*1++IF(AQ64=0,ROW(),AQ64)/2000000</f>
        <v>0.000796725</v>
      </c>
      <c r="AQ64" s="46" t="n">
        <f aca="false">VLOOKUP(AE64,db_fifarank,2,FALSE())</f>
        <v>1593.45</v>
      </c>
      <c r="AR64" s="45" t="n">
        <f aca="false">AP64/AP66</f>
        <v>0.000795978841474214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0</v>
      </c>
      <c r="AV64" s="46" t="n">
        <f aca="false" t="array" ref="AV64:AV64">SUMPRODUCT(($E$7:$E$78=AE64)*($U$7:$U$78)*($F$7:$F$78))+SUMPRODUCT(($H$7:$H$78=AE64)*($U$7:$U$78)*($G$7:$G$78))</f>
        <v>0</v>
      </c>
      <c r="AW64" s="46" t="n">
        <f aca="false" t="array" ref="AW64:AW64">SUMPRODUCT(($E$7:$E$78=AE64)*($U$7:$U$78)*($G$7:$G$78))+SUMPRODUCT(($H$7:$H$78=AE64)*($U$7:$U$78)*($F$7:$F$78))</f>
        <v>0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0</v>
      </c>
      <c r="BA64" s="46" t="n">
        <f aca="false">AZ64/AZ66</f>
        <v>0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0</v>
      </c>
      <c r="BD64" s="46" t="n">
        <f aca="false" t="array" ref="BD64:BD64">SUMPRODUCT(($E$7:$E$78=AE64)*($X$7:$X$78)*($F$7:$F$78))+SUMPRODUCT(($H$7:$H$78=AE64)*($X$7:$X$78)*($G$7:$G$78))</f>
        <v>0</v>
      </c>
      <c r="BE64" s="46" t="n">
        <f aca="false" t="array" ref="BE64:BE64">SUMPRODUCT(($E$7:$E$78=AE64)*($X$7:$X$78)*($G$7:$G$78))+SUMPRODUCT(($H$7:$H$78=AE64)*($X$7:$X$78)*($F$7:$F$78))</f>
        <v>0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0</v>
      </c>
      <c r="BI64" s="46" t="n">
        <f aca="false">BH64/BH66</f>
        <v>0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7"/>
      <c r="BX64" s="47"/>
      <c r="BY64" s="83" t="n">
        <v>100</v>
      </c>
      <c r="BZ64" s="84" t="str">
        <f aca="false">IF(BW60&gt;BW61,BS60,IF(BW60&lt;BW61,BS61,""))</f>
        <v/>
      </c>
      <c r="CA64" s="85"/>
      <c r="CB64" s="86"/>
      <c r="CC64" s="87"/>
      <c r="CD64" s="100" t="str">
        <f aca="false">IF(OR(CA64="",CA65="",AND(CB64="",CB65&lt;&gt;""),AND(CB65="",CB64&lt;&gt;""),AND(CC64="",CC65&lt;&gt;""),AND(CC65="",CC64&lt;&gt;"")),"",CA64*1000+CB64*10+CC64)</f>
        <v/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79"/>
      <c r="G65" s="69"/>
      <c r="H65" s="70" t="str">
        <f aca="false">AE26</f>
        <v>United States</v>
      </c>
      <c r="I65" s="104"/>
      <c r="J65" s="80" t="str">
        <f aca="false">VLOOKUP(3,AD62:AN65,2,FALSE())</f>
        <v>Algeria</v>
      </c>
      <c r="K65" s="81" t="n">
        <f aca="false">L65+M65+N65</f>
        <v>0</v>
      </c>
      <c r="L65" s="81" t="n">
        <f aca="false">VLOOKUP(3,AD62:AN65,3,FALSE())</f>
        <v>0</v>
      </c>
      <c r="M65" s="81" t="n">
        <f aca="false">VLOOKUP(3,AD62:AN65,4,FALSE())</f>
        <v>0</v>
      </c>
      <c r="N65" s="81" t="n">
        <f aca="false">VLOOKUP(3,AD62:AN65,5,FALSE())</f>
        <v>0</v>
      </c>
      <c r="O65" s="81" t="str">
        <f aca="false">VLOOKUP(3,AD62:AN65,6,FALSE()) &amp; " - " &amp; VLOOKUP(3,AD62:AN65,7,FALSE())</f>
        <v>0 - 0</v>
      </c>
      <c r="P65" s="82" t="n">
        <f aca="false">L65*3+M65</f>
        <v>0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/>
      </c>
      <c r="T65" s="43" t="str">
        <f aca="false">IF(S65="","",IF(F65&lt;G65,H65&amp;"_win",IF(F65&gt;G65,H65&amp;"_lose",H65&amp;"_draw")))</f>
        <v/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str">
        <f aca="false">IF(OR(F65="",G65=""),"",IF(F65&gt;G65,1,IF(F65&lt;G65,-1,0)))</f>
        <v/>
      </c>
      <c r="AD65" s="42" t="n">
        <f aca="false">COUNTIF(AR62:AR65,CONCATENATE("&gt;=",AR65))</f>
        <v>4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0</v>
      </c>
      <c r="AI65" s="42" t="n">
        <f aca="false">SUMIF($E$7:$E$78,$AE65,$F$7:$F$78) + SUMIF($H$7:$H$78,$AE65,$G$7:$G$78)</f>
        <v>0</v>
      </c>
      <c r="AJ65" s="42" t="n">
        <f aca="false">SUMIF($E$7:$E$78,$AE65,$G$7:$G$78) + SUMIF($H$7:$H$78,$AE65,$F$7:$F$78)</f>
        <v>0</v>
      </c>
      <c r="AL65" s="42" t="n">
        <f aca="false">AI65-AJ65</f>
        <v>0</v>
      </c>
      <c r="AM65" s="42" t="n">
        <f aca="false">AL65-AL66</f>
        <v>0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0.000695725</v>
      </c>
      <c r="AQ65" s="46" t="n">
        <f aca="false">VLOOKUP(AE65,db_fifarank,2,FALSE())</f>
        <v>1391.45</v>
      </c>
      <c r="AR65" s="45" t="n">
        <f aca="false">AP65/AP66</f>
        <v>0.000695073431214845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3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7"/>
      <c r="BX65" s="98"/>
      <c r="BY65" s="83"/>
      <c r="BZ65" s="88" t="str">
        <f aca="false">IF(BW68&gt;BW69,BS68,IF(BW68&lt;BW69,BS69,""))</f>
        <v/>
      </c>
      <c r="CA65" s="89"/>
      <c r="CB65" s="90"/>
      <c r="CC65" s="91"/>
      <c r="CD65" s="47" t="str">
        <f aca="false">IF(CD64="","",CA65*1000+CB65*10+CC65)</f>
        <v/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79"/>
      <c r="G66" s="69"/>
      <c r="H66" s="70" t="str">
        <f aca="false">AE28</f>
        <v>Australia</v>
      </c>
      <c r="I66" s="104"/>
      <c r="J66" s="94" t="str">
        <f aca="false">VLOOKUP(4,AD62:AN65,2,FALSE())</f>
        <v>Jordan</v>
      </c>
      <c r="K66" s="95" t="n">
        <f aca="false">L66+M66+N66</f>
        <v>0</v>
      </c>
      <c r="L66" s="95" t="n">
        <f aca="false">VLOOKUP(4,AD62:AN65,3,FALSE())</f>
        <v>0</v>
      </c>
      <c r="M66" s="95" t="n">
        <f aca="false">VLOOKUP(4,AD62:AN65,4,FALSE())</f>
        <v>0</v>
      </c>
      <c r="N66" s="95" t="n">
        <f aca="false">VLOOKUP(4,AD62:AN65,5,FALSE())</f>
        <v>0</v>
      </c>
      <c r="O66" s="95" t="str">
        <f aca="false">VLOOKUP(4,AD62:AN65,6,FALSE()) &amp; " - " &amp; VLOOKUP(4,AD62:AN65,7,FALSE())</f>
        <v>0 - 0</v>
      </c>
      <c r="P66" s="96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/>
      </c>
      <c r="T66" s="43" t="str">
        <f aca="false">IF(S66="","",IF(F66&lt;G66,H66&amp;"_win",IF(F66&gt;G66,H66&amp;"_lose",H66&amp;"_draw")))</f>
        <v/>
      </c>
      <c r="U66" s="42" t="n">
        <f aca="false">IF(S66="",0,IF(VLOOKUP(E66,$AE$8:$AN$77,10,FALSE())=VLOOKUP(H66,$AE$8:$AN$77,10,FALSE()),1,0))</f>
        <v>0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0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str">
        <f aca="false">IF(OR(F66="",G66=""),"",IF(F66&gt;G66,1,IF(F66&lt;G66,-1,0)))</f>
        <v/>
      </c>
      <c r="AF66" s="42" t="n">
        <f aca="false">MAX(AF62:AF65)-MIN(AF62:AF65)+1</f>
        <v>1</v>
      </c>
      <c r="AG66" s="42" t="n">
        <f aca="false">MAX(AG62:AG65)-MIN(AG62:AG65)+1</f>
        <v>1</v>
      </c>
      <c r="AH66" s="42" t="n">
        <f aca="false">MAX(AH62:AH65)-MIN(AH62:AH65)+1</f>
        <v>1</v>
      </c>
      <c r="AI66" s="42" t="n">
        <f aca="false">MAX(AI62:AI65)+1</f>
        <v>1</v>
      </c>
      <c r="AL66" s="42" t="n">
        <f aca="false">MIN(AL62:AL65)</f>
        <v>0</v>
      </c>
      <c r="AM66" s="42" t="n">
        <f aca="false">MAX(AM62:AM65)+1</f>
        <v>1</v>
      </c>
      <c r="AN66" s="42" t="n">
        <f aca="false">MAX(AN62:AN65)+1</f>
        <v>1</v>
      </c>
      <c r="AO66" s="42" t="n">
        <f aca="false">MAX(AO62:AO65)+1</f>
        <v>1</v>
      </c>
      <c r="AP66" s="42" t="n">
        <f aca="false">MAX(AP62:AP65)+1</f>
        <v>1.00093741</v>
      </c>
      <c r="AT66" s="46" t="n">
        <f aca="false">MAX(AT62:AT65)-MIN(AT62:AT65)+1</f>
        <v>1</v>
      </c>
      <c r="AU66" s="46" t="n">
        <f aca="false">MAX(AU62:AU65)-MIN(AU62:AU65)+1</f>
        <v>1</v>
      </c>
      <c r="AV66" s="46" t="n">
        <f aca="false">MAX(AV62:AV65)-MIN(AV62:AV65)+1</f>
        <v>1</v>
      </c>
      <c r="AW66" s="46" t="n">
        <f aca="false">MAX(AW62:AW65)-MIN(AW62:AW65)+1</f>
        <v>1</v>
      </c>
      <c r="AY66" s="46" t="n">
        <f aca="false">MAX(AY62:AY65)-MIN(AY62:AY65)+1</f>
        <v>1</v>
      </c>
      <c r="AZ66" s="46" t="n">
        <f aca="false">MAX(AZ62:AZ65)+1</f>
        <v>1</v>
      </c>
      <c r="BB66" s="46" t="n">
        <f aca="false">MAX(BB62:BB65)-MIN(BB62:BB65)+1</f>
        <v>1</v>
      </c>
      <c r="BC66" s="46" t="n">
        <f aca="false">MAX(BC62:BC65)-MIN(BC62:BC65)+1</f>
        <v>1</v>
      </c>
      <c r="BD66" s="46" t="n">
        <f aca="false">MAX(BD62:BD65)-MIN(BD62:BD65)+1</f>
        <v>1</v>
      </c>
      <c r="BE66" s="46" t="n">
        <f aca="false">MAX(BE62:BE65)-MIN(BE62:BE65)+1</f>
        <v>1</v>
      </c>
      <c r="BG66" s="46" t="n">
        <f aca="false">MAX(BG62:BG65)-MIN(BG62:BG65)+1</f>
        <v>1</v>
      </c>
      <c r="BH66" s="46" t="n">
        <f aca="false">MAX(BH62:BH65)+1</f>
        <v>1</v>
      </c>
      <c r="BK66" s="83" t="n">
        <v>85</v>
      </c>
      <c r="BL66" s="84" t="str">
        <f aca="false">AS14</f>
        <v>1B</v>
      </c>
      <c r="BM66" s="85"/>
      <c r="BN66" s="86"/>
      <c r="BO66" s="87"/>
      <c r="BP66" s="47" t="str">
        <f aca="false">IF(OR(BM66="",BM67="",AND(BN66="",BN67&lt;&gt;""),AND(BN67="",BN66&lt;&gt;""),AND(BO66="",BO67&lt;&gt;""),AND(BO67="",BO66&lt;&gt;"")),"",BM66*1000+BN66*10+BO66)</f>
        <v/>
      </c>
      <c r="BQ66" s="47"/>
      <c r="BR66" s="74"/>
      <c r="BS66" s="74"/>
      <c r="BT66" s="74"/>
      <c r="BU66" s="74"/>
      <c r="BV66" s="74"/>
      <c r="BW66" s="97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79"/>
      <c r="G67" s="69"/>
      <c r="H67" s="70" t="str">
        <f aca="false">AE56</f>
        <v>France</v>
      </c>
      <c r="I67" s="104"/>
      <c r="J67" s="105"/>
      <c r="K67" s="106"/>
      <c r="L67" s="106"/>
      <c r="M67" s="106"/>
      <c r="N67" s="106"/>
      <c r="O67" s="106"/>
      <c r="P67" s="106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/>
      </c>
      <c r="T67" s="43" t="str">
        <f aca="false">IF(S67="","",IF(F67&lt;G67,H67&amp;"_win",IF(F67&gt;G67,H67&amp;"_lose",H67&amp;"_draw")))</f>
        <v/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str">
        <f aca="false">IF(OR(F67="",G67=""),"",IF(F67&gt;G67,1,IF(F67&lt;G67,-1,0)))</f>
        <v/>
      </c>
      <c r="BK67" s="83"/>
      <c r="BL67" s="88" t="str">
        <f aca="false">IF(group_round_completed,VLOOKUP('3rd places'!E3,AK80:AS91,9,FALSE()),"3rd Group E/F/G/I/J")</f>
        <v>3rd Group E/F/G/I/J</v>
      </c>
      <c r="BM67" s="89"/>
      <c r="BN67" s="90"/>
      <c r="BO67" s="91"/>
      <c r="BP67" s="92" t="str">
        <f aca="false">IF(BP66="","",BM67*1000+BN67*10+BO67)</f>
        <v/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3"/>
      <c r="BW67" s="97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79"/>
      <c r="G68" s="69"/>
      <c r="H68" s="70" t="str">
        <f aca="false">AE58</f>
        <v>Iraq</v>
      </c>
      <c r="I68" s="104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/>
      </c>
      <c r="T68" s="43" t="str">
        <f aca="false">IF(S68="","",IF(F68&lt;G68,H68&amp;"_win",IF(F68&gt;G68,H68&amp;"_lose",H68&amp;"_draw")))</f>
        <v/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str">
        <f aca="false">IF(OR(F68="",G68=""),"",IF(F68&gt;G68,1,IF(F68&lt;G68,-1,0)))</f>
        <v/>
      </c>
      <c r="AD68" s="42" t="n">
        <f aca="false">COUNTIF(AR68:AR71,CONCATENATE("&gt;=",AR68))</f>
        <v>1</v>
      </c>
      <c r="AE68" s="44" t="str">
        <f aca="false">VLOOKUP("Portugal",T,lang,FALSE())</f>
        <v>Portugal</v>
      </c>
      <c r="AF68" s="42" t="n">
        <f aca="false">COUNTIF($S$7:$T$78,"=" &amp; AE68 &amp; "_win")</f>
        <v>0</v>
      </c>
      <c r="AG68" s="42" t="n">
        <f aca="false">COUNTIF($S$7:$T$78,"=" &amp; AE68 &amp; "_draw")</f>
        <v>0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0</v>
      </c>
      <c r="AJ68" s="42" t="n">
        <f aca="false">SUMIF($E$7:$E$78,$AE68,$G$7:$G$78) + SUMIF($H$7:$H$78,$AE68,$F$7:$F$78)</f>
        <v>0</v>
      </c>
      <c r="AL68" s="42" t="n">
        <f aca="false">AI68-AJ68</f>
        <v>0</v>
      </c>
      <c r="AM68" s="42" t="n">
        <f aca="false">AL68-AL72</f>
        <v>0</v>
      </c>
      <c r="AN68" s="42" t="n">
        <f aca="false">AF68*3+AG68</f>
        <v>0</v>
      </c>
      <c r="AO68" s="42" t="n">
        <f aca="false">AN68/AN72*10+BA68</f>
        <v>0</v>
      </c>
      <c r="AP68" s="42" t="n">
        <f aca="false">AO68*10000000+BI68*100+AM68/AM72*10+AI68/AI72*1++IF(AQ68=0,ROW(),AQ68)/2000000</f>
        <v>0.000881915</v>
      </c>
      <c r="AQ68" s="46" t="n">
        <f aca="false">VLOOKUP(AE68,db_fifarank,2,FALSE())</f>
        <v>1763.83</v>
      </c>
      <c r="AR68" s="45" t="n">
        <f aca="false">AP68/AP72</f>
        <v>0.000881137911258992</v>
      </c>
      <c r="AS68" s="45" t="str">
        <f aca="false">IF(SUM(AF68:AH71)=12,J69,"1K")</f>
        <v>1K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0</v>
      </c>
      <c r="AV68" s="46" t="n">
        <f aca="false" t="array" ref="AV68:AV68">SUMPRODUCT(($E$7:$E$78=AE68)*($U$7:$U$78)*($F$7:$F$78))+SUMPRODUCT(($H$7:$H$78=AE68)*($U$7:$U$78)*($G$7:$G$78))</f>
        <v>0</v>
      </c>
      <c r="AW68" s="46" t="n">
        <f aca="false" t="array" ref="AW68:AW68">SUMPRODUCT(($E$7:$E$78=AE68)*($U$7:$U$78)*($G$7:$G$78))+SUMPRODUCT(($H$7:$H$78=AE68)*($U$7:$U$78)*($F$7:$F$78))</f>
        <v>0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0</v>
      </c>
      <c r="BA68" s="46" t="n">
        <f aca="false">AZ68/AZ72</f>
        <v>0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0</v>
      </c>
      <c r="BD68" s="46" t="n">
        <f aca="false" t="array" ref="BD68:BD68">SUMPRODUCT(($E$7:$E$78=AE68)*($X$7:$X$78)*($F$7:$F$78))+SUMPRODUCT(($H$7:$H$78=AE68)*($X$7:$X$78)*($G$7:$G$78))</f>
        <v>0</v>
      </c>
      <c r="BE68" s="46" t="n">
        <f aca="false" t="array" ref="BE68:BE68">SUMPRODUCT(($E$7:$E$78=AE68)*($X$7:$X$78)*($G$7:$G$78))+SUMPRODUCT(($H$7:$H$78=AE68)*($X$7:$X$78)*($F$7:$F$78))</f>
        <v>0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0</v>
      </c>
      <c r="BI68" s="46" t="n">
        <f aca="false">BH68/BH72</f>
        <v>0</v>
      </c>
      <c r="BK68" s="74"/>
      <c r="BL68" s="74"/>
      <c r="BM68" s="74"/>
      <c r="BN68" s="74"/>
      <c r="BO68" s="74"/>
      <c r="BP68" s="97"/>
      <c r="BQ68" s="47"/>
      <c r="BR68" s="83" t="n">
        <v>96</v>
      </c>
      <c r="BS68" s="84" t="str">
        <f aca="false">IF(BP66&gt;BP67,BL66,IF(BP66&lt;BP67,BL67,""))</f>
        <v/>
      </c>
      <c r="BT68" s="85"/>
      <c r="BU68" s="86"/>
      <c r="BV68" s="87"/>
      <c r="BW68" s="100" t="str">
        <f aca="false">IF(OR(BT68="",BT69="",AND(BU68="",BU69&lt;&gt;""),AND(BU69="",BU68&lt;&gt;""),AND(BV68="",BV69&lt;&gt;""),AND(BV69="",BV68&lt;&gt;"")),"",BT68*1000+BU68*10+BV68)</f>
        <v/>
      </c>
      <c r="CE68" s="107" t="str">
        <f aca="false">INDEX(T,144,lang)</f>
        <v>World Champion 2026</v>
      </c>
      <c r="CF68" s="107"/>
      <c r="CG68" s="107"/>
      <c r="CH68" s="107"/>
      <c r="CI68" s="107"/>
      <c r="CJ68" s="107"/>
      <c r="CK68" s="108" t="str">
        <f aca="false">IF(CR37&gt;CR38,CN37,IF(CR37&lt;CR38,CN38,""))</f>
        <v/>
      </c>
      <c r="CL68" s="108"/>
      <c r="CM68" s="108"/>
      <c r="CN68" s="108"/>
      <c r="CO68" s="108"/>
      <c r="CP68" s="108"/>
      <c r="CQ68" s="108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79"/>
      <c r="G69" s="69"/>
      <c r="H69" s="70" t="str">
        <f aca="false">AE46</f>
        <v>Iran</v>
      </c>
      <c r="I69" s="104"/>
      <c r="J69" s="75" t="str">
        <f aca="false">VLOOKUP(1,AD68:AN71,2,FALSE())</f>
        <v>Portugal</v>
      </c>
      <c r="K69" s="76" t="n">
        <f aca="false">L69+M69+N69</f>
        <v>0</v>
      </c>
      <c r="L69" s="76" t="n">
        <f aca="false">VLOOKUP(1,AD68:AN71,3,FALSE())</f>
        <v>0</v>
      </c>
      <c r="M69" s="76" t="n">
        <f aca="false">VLOOKUP(1,AD68:AN71,4,FALSE())</f>
        <v>0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0 - 0</v>
      </c>
      <c r="P69" s="77" t="n">
        <f aca="false">L69*3+M69</f>
        <v>0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/>
      </c>
      <c r="T69" s="43" t="str">
        <f aca="false">IF(S69="","",IF(F69&lt;G69,H69&amp;"_win",IF(F69&gt;G69,H69&amp;"_lose",H69&amp;"_draw")))</f>
        <v/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str">
        <f aca="false">IF(OR(F69="",G69=""),"",IF(F69&gt;G69,1,IF(F69&lt;G69,-1,0)))</f>
        <v/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0</v>
      </c>
      <c r="AG69" s="42" t="n">
        <f aca="false">COUNTIF($S$7:$T$78,"=" &amp; AE69 &amp; "_draw")</f>
        <v>0</v>
      </c>
      <c r="AH69" s="42" t="n">
        <f aca="false">COUNTIF($S$7:$T$78,"=" &amp; AE69 &amp; "_lose")</f>
        <v>0</v>
      </c>
      <c r="AI69" s="42" t="n">
        <f aca="false">SUMIF($E$7:$E$78,$AE69,$F$7:$F$78) + SUMIF($H$7:$H$78,$AE69,$G$7:$G$78)</f>
        <v>0</v>
      </c>
      <c r="AJ69" s="42" t="n">
        <f aca="false">SUMIF($E$7:$E$78,$AE69,$G$7:$G$78) + SUMIF($H$7:$H$78,$AE69,$F$7:$F$78)</f>
        <v>0</v>
      </c>
      <c r="AL69" s="42" t="n">
        <f aca="false">AI69-AJ69</f>
        <v>0</v>
      </c>
      <c r="AM69" s="42" t="n">
        <f aca="false">AL69-AL72</f>
        <v>0</v>
      </c>
      <c r="AN69" s="42" t="n">
        <f aca="false">AF69*3+AG69</f>
        <v>0</v>
      </c>
      <c r="AO69" s="42" t="n">
        <f aca="false">AN69/AN72*10+BA69</f>
        <v>0</v>
      </c>
      <c r="AP69" s="42" t="n">
        <f aca="false">AO69*10000000+BI69*100+AM69/AM72*10+AI69/AI72*1++IF(AQ69=0,ROW(),AQ69)/2000000</f>
        <v>0.000739175</v>
      </c>
      <c r="AQ69" s="46" t="n">
        <f aca="false">VLOOKUP(AE69,db_fifarank,2,FALSE())</f>
        <v>1478.35</v>
      </c>
      <c r="AR69" s="45" t="n">
        <f aca="false">AP69/AP72</f>
        <v>0.000738523684884445</v>
      </c>
      <c r="AS69" s="45" t="str">
        <f aca="false">IF(SUM(AF68:AH71)=12,J70,"2K")</f>
        <v>2K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0</v>
      </c>
      <c r="AV69" s="46" t="n">
        <f aca="false" t="array" ref="AV69:AV69">SUMPRODUCT(($E$7:$E$78=AE69)*($U$7:$U$78)*($F$7:$F$78))+SUMPRODUCT(($H$7:$H$78=AE69)*($U$7:$U$78)*($G$7:$G$78))</f>
        <v>0</v>
      </c>
      <c r="AW69" s="46" t="n">
        <f aca="false" t="array" ref="AW69:AW69">SUMPRODUCT(($E$7:$E$78=AE69)*($U$7:$U$78)*($G$7:$G$78))+SUMPRODUCT(($H$7:$H$78=AE69)*($U$7:$U$78)*($F$7:$F$78))</f>
        <v>0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0</v>
      </c>
      <c r="BA69" s="46" t="n">
        <f aca="false">AZ69/AZ72</f>
        <v>0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0</v>
      </c>
      <c r="BD69" s="46" t="n">
        <f aca="false" t="array" ref="BD69:BD69">SUMPRODUCT(($E$7:$E$78=AE69)*($X$7:$X$78)*($F$7:$F$78))+SUMPRODUCT(($H$7:$H$78=AE69)*($X$7:$X$78)*($G$7:$G$78))</f>
        <v>0</v>
      </c>
      <c r="BE69" s="46" t="n">
        <f aca="false" t="array" ref="BE69:BE69">SUMPRODUCT(($E$7:$E$78=AE69)*($X$7:$X$78)*($G$7:$G$78))+SUMPRODUCT(($H$7:$H$78=AE69)*($X$7:$X$78)*($F$7:$F$78))</f>
        <v>0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0</v>
      </c>
      <c r="BI69" s="46" t="n">
        <f aca="false">BH69/BH72</f>
        <v>0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3"/>
      <c r="BP69" s="97" t="n">
        <f aca="false">DATE(2026,7,3)+TIME(14,30,0)+gmt_delta</f>
        <v>46206.8958333333</v>
      </c>
      <c r="BQ69" s="98"/>
      <c r="BR69" s="83"/>
      <c r="BS69" s="88" t="str">
        <f aca="false">IF(BP70&gt;BP71,BL70,IF(BP70&lt;BP71,BL71,""))</f>
        <v/>
      </c>
      <c r="BT69" s="89"/>
      <c r="BU69" s="90"/>
      <c r="BV69" s="91"/>
      <c r="BW69" s="47" t="str">
        <f aca="false">IF(BW68="","",BT69*1000+BU69*10+BV69)</f>
        <v/>
      </c>
      <c r="CE69" s="107"/>
      <c r="CF69" s="107"/>
      <c r="CG69" s="107"/>
      <c r="CH69" s="107"/>
      <c r="CI69" s="107"/>
      <c r="CJ69" s="107"/>
      <c r="CK69" s="108"/>
      <c r="CL69" s="108"/>
      <c r="CM69" s="108"/>
      <c r="CN69" s="108"/>
      <c r="CO69" s="108"/>
      <c r="CP69" s="108"/>
      <c r="CQ69" s="108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79"/>
      <c r="G70" s="69"/>
      <c r="H70" s="70" t="str">
        <f aca="false">AE44</f>
        <v>Belgium</v>
      </c>
      <c r="I70" s="104"/>
      <c r="J70" s="80" t="str">
        <f aca="false">VLOOKUP(2,AD68:AN71,2,FALSE())</f>
        <v>Colombia</v>
      </c>
      <c r="K70" s="81" t="n">
        <f aca="false">L70+M70+N70</f>
        <v>0</v>
      </c>
      <c r="L70" s="81" t="n">
        <f aca="false">VLOOKUP(2,AD68:AN71,3,FALSE())</f>
        <v>0</v>
      </c>
      <c r="M70" s="81" t="n">
        <f aca="false">VLOOKUP(2,AD68:AN71,4,FALSE())</f>
        <v>0</v>
      </c>
      <c r="N70" s="81" t="n">
        <f aca="false">VLOOKUP(2,AD68:AN71,5,FALSE())</f>
        <v>0</v>
      </c>
      <c r="O70" s="81" t="str">
        <f aca="false">VLOOKUP(2,AD68:AN71,6,FALSE()) &amp; " - " &amp; VLOOKUP(2,AD68:AN71,7,FALSE())</f>
        <v>0 - 0</v>
      </c>
      <c r="P70" s="82" t="n">
        <f aca="false">L70*3+M70</f>
        <v>0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/>
      </c>
      <c r="T70" s="43" t="str">
        <f aca="false">IF(S70="","",IF(F70&lt;G70,H70&amp;"_win",IF(F70&gt;G70,H70&amp;"_lose",H70&amp;"_draw")))</f>
        <v/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str">
        <f aca="false">IF(OR(F70="",G70=""),"",IF(F70&gt;G70,1,IF(F70&lt;G70,-1,0)))</f>
        <v/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0</v>
      </c>
      <c r="AI70" s="42" t="n">
        <f aca="false">SUMIF($E$7:$E$78,$AE70,$F$7:$F$78) + SUMIF($H$7:$H$78,$AE70,$G$7:$G$78)</f>
        <v>0</v>
      </c>
      <c r="AJ70" s="42" t="n">
        <f aca="false">SUMIF($E$7:$E$78,$AE70,$G$7:$G$78) + SUMIF($H$7:$H$78,$AE70,$F$7:$F$78)</f>
        <v>0</v>
      </c>
      <c r="AL70" s="42" t="n">
        <f aca="false">AI70-AJ70</f>
        <v>0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0.00073267</v>
      </c>
      <c r="AQ70" s="46" t="n">
        <f aca="false">VLOOKUP(AE70,db_fifarank,2,FALSE())</f>
        <v>1465.34</v>
      </c>
      <c r="AR70" s="45" t="n">
        <f aca="false">AP70/AP72</f>
        <v>0.000732024416686558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3" t="n">
        <v>87</v>
      </c>
      <c r="BL70" s="84" t="str">
        <f aca="false">AS68</f>
        <v>1K</v>
      </c>
      <c r="BM70" s="85"/>
      <c r="BN70" s="86"/>
      <c r="BO70" s="87"/>
      <c r="BP70" s="100" t="str">
        <f aca="false">IF(OR(BM70="",BM71="",AND(BN70="",BN71&lt;&gt;""),AND(BN71="",BN70&lt;&gt;""),AND(BO70="",BO71&lt;&gt;""),AND(BO71="",BO70&lt;&gt;"")),"",BM70*1000+BN70*10+BO70)</f>
        <v/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79"/>
      <c r="G71" s="69"/>
      <c r="H71" s="70" t="str">
        <f aca="false">AE52</f>
        <v>Saudi Arabia</v>
      </c>
      <c r="I71" s="104"/>
      <c r="J71" s="80" t="str">
        <f aca="false">VLOOKUP(3,AD68:AN71,2,FALSE())</f>
        <v>DR Congo</v>
      </c>
      <c r="K71" s="81" t="n">
        <f aca="false">L71+M71+N71</f>
        <v>0</v>
      </c>
      <c r="L71" s="81" t="n">
        <f aca="false">VLOOKUP(3,AD68:AN71,3,FALSE())</f>
        <v>0</v>
      </c>
      <c r="M71" s="81" t="n">
        <f aca="false">VLOOKUP(3,AD68:AN71,4,FALSE())</f>
        <v>0</v>
      </c>
      <c r="N71" s="81" t="n">
        <f aca="false">VLOOKUP(3,AD68:AN71,5,FALSE())</f>
        <v>0</v>
      </c>
      <c r="O71" s="81" t="str">
        <f aca="false">VLOOKUP(3,AD68:AN71,6,FALSE()) &amp; " - " &amp; VLOOKUP(3,AD68:AN71,7,FALSE())</f>
        <v>0 - 0</v>
      </c>
      <c r="P71" s="82" t="n">
        <f aca="false">L71*3+M71</f>
        <v>0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/>
      </c>
      <c r="T71" s="43" t="str">
        <f aca="false">IF(S71="","",IF(F71&lt;G71,H71&amp;"_win",IF(F71&gt;G71,H71&amp;"_lose",H71&amp;"_draw")))</f>
        <v/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str">
        <f aca="false">IF(OR(F71="",G71=""),"",IF(F71&gt;G71,1,IF(F71&lt;G71,-1,0)))</f>
        <v/>
      </c>
      <c r="AD71" s="42" t="n">
        <f aca="false">COUNTIF(AR68:AR71,CONCATENATE("&gt;=",AR71))</f>
        <v>2</v>
      </c>
      <c r="AE71" s="44" t="str">
        <f aca="false">VLOOKUP("Colombia",T,lang,FALSE())</f>
        <v>Colombia</v>
      </c>
      <c r="AF71" s="42" t="n">
        <f aca="false">COUNTIF($S$7:$T$78,"=" &amp; AE71 &amp; "_win")</f>
        <v>0</v>
      </c>
      <c r="AG71" s="42" t="n">
        <f aca="false">COUNTIF($S$7:$T$78,"=" &amp; AE71 &amp; "_draw")</f>
        <v>0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0</v>
      </c>
      <c r="AJ71" s="42" t="n">
        <f aca="false">SUMIF($E$7:$E$78,$AE71,$G$7:$G$78) + SUMIF($H$7:$H$78,$AE71,$F$7:$F$78)</f>
        <v>0</v>
      </c>
      <c r="AL71" s="42" t="n">
        <f aca="false">AI71-AJ71</f>
        <v>0</v>
      </c>
      <c r="AM71" s="42" t="n">
        <f aca="false">AL71-AL72</f>
        <v>0</v>
      </c>
      <c r="AN71" s="42" t="n">
        <f aca="false">AF71*3+AG71</f>
        <v>0</v>
      </c>
      <c r="AO71" s="42" t="n">
        <f aca="false">AN71/AN72*10+BA71</f>
        <v>0</v>
      </c>
      <c r="AP71" s="42" t="n">
        <f aca="false">AO71*10000000+BI71*100+AM71/AM72*10+AI71/AI72*1++IF(AQ71=0,ROW(),AQ71)/2000000</f>
        <v>0.000846545</v>
      </c>
      <c r="AQ71" s="46" t="n">
        <f aca="false">VLOOKUP(AE71,db_fifarank,2,FALSE())</f>
        <v>1693.09</v>
      </c>
      <c r="AR71" s="45" t="n">
        <f aca="false">AP71/AP72</f>
        <v>0.000845799077106913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3"/>
      <c r="BL71" s="88" t="str">
        <f aca="false">IF(group_round_completed,VLOOKUP('3rd places'!J3,AK80:AS91,9,FALSE()),"3rd Group D/E/I/J/L")</f>
        <v>3rd Group D/E/I/J/L</v>
      </c>
      <c r="BM71" s="89"/>
      <c r="BN71" s="90"/>
      <c r="BO71" s="91"/>
      <c r="BP71" s="47" t="str">
        <f aca="false">IF(BP70="","",BM71*1000+BN71*10+BO71)</f>
        <v/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79"/>
      <c r="G72" s="69"/>
      <c r="H72" s="70" t="str">
        <f aca="false">AE50</f>
        <v>Spain</v>
      </c>
      <c r="I72" s="104"/>
      <c r="J72" s="94" t="str">
        <f aca="false">VLOOKUP(4,AD68:AN71,2,FALSE())</f>
        <v>Uzbekistan</v>
      </c>
      <c r="K72" s="95" t="n">
        <f aca="false">L72+M72+N72</f>
        <v>0</v>
      </c>
      <c r="L72" s="95" t="n">
        <f aca="false">VLOOKUP(4,AD68:AN71,3,FALSE())</f>
        <v>0</v>
      </c>
      <c r="M72" s="95" t="n">
        <f aca="false">VLOOKUP(4,AD68:AN71,4,FALSE())</f>
        <v>0</v>
      </c>
      <c r="N72" s="95" t="n">
        <f aca="false">VLOOKUP(4,AD68:AN71,5,FALSE())</f>
        <v>0</v>
      </c>
      <c r="O72" s="95" t="str">
        <f aca="false">VLOOKUP(4,AD68:AN71,6,FALSE()) &amp; " - " &amp; VLOOKUP(4,AD68:AN71,7,FALSE())</f>
        <v>0 - 0</v>
      </c>
      <c r="P72" s="96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/>
      </c>
      <c r="T72" s="43" t="str">
        <f aca="false">IF(S72="","",IF(F72&lt;G72,H72&amp;"_win",IF(F72&gt;G72,H72&amp;"_lose",H72&amp;"_draw")))</f>
        <v/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str">
        <f aca="false">IF(OR(F72="",G72=""),"",IF(F72&gt;G72,1,IF(F72&lt;G72,-1,0)))</f>
        <v/>
      </c>
      <c r="AF72" s="42" t="n">
        <f aca="false">MAX(AF68:AF71)-MIN(AF68:AF71)+1</f>
        <v>1</v>
      </c>
      <c r="AG72" s="42" t="n">
        <f aca="false">MAX(AG68:AG71)-MIN(AG68:AG71)+1</f>
        <v>1</v>
      </c>
      <c r="AH72" s="42" t="n">
        <f aca="false">MAX(AH68:AH71)-MIN(AH68:AH71)+1</f>
        <v>1</v>
      </c>
      <c r="AI72" s="42" t="n">
        <f aca="false">MAX(AI68:AI71)+1</f>
        <v>1</v>
      </c>
      <c r="AL72" s="42" t="n">
        <f aca="false">MIN(AL68:AL71)</f>
        <v>0</v>
      </c>
      <c r="AM72" s="42" t="n">
        <f aca="false">MAX(AM68:AM71)+1</f>
        <v>1</v>
      </c>
      <c r="AN72" s="42" t="n">
        <f aca="false">MAX(AN68:AN71)+1</f>
        <v>1</v>
      </c>
      <c r="AO72" s="42" t="n">
        <f aca="false">MAX(AO68:AO71)+1</f>
        <v>1</v>
      </c>
      <c r="AP72" s="42" t="n">
        <f aca="false">MAX(AP68:AP71)+1</f>
        <v>1.000881915</v>
      </c>
      <c r="AT72" s="46" t="n">
        <f aca="false">MAX(AT68:AT71)-MIN(AT68:AT71)+1</f>
        <v>1</v>
      </c>
      <c r="AU72" s="46" t="n">
        <f aca="false">MAX(AU68:AU71)-MIN(AU68:AU71)+1</f>
        <v>1</v>
      </c>
      <c r="AV72" s="46" t="n">
        <f aca="false">MAX(AV68:AV71)-MIN(AV68:AV71)+1</f>
        <v>1</v>
      </c>
      <c r="AW72" s="46" t="n">
        <f aca="false">MAX(AW68:AW71)-MIN(AW68:AW71)+1</f>
        <v>1</v>
      </c>
      <c r="AY72" s="46" t="n">
        <f aca="false">MAX(AY68:AY71)-MIN(AY68:AY71)+1</f>
        <v>1</v>
      </c>
      <c r="AZ72" s="46" t="n">
        <f aca="false">MAX(AZ68:AZ71)+1</f>
        <v>1</v>
      </c>
      <c r="BB72" s="46" t="n">
        <f aca="false">MAX(BB68:BB71)-MIN(BB68:BB71)+1</f>
        <v>1</v>
      </c>
      <c r="BC72" s="46" t="n">
        <f aca="false">MAX(BC68:BC71)-MIN(BC68:BC71)+1</f>
        <v>1</v>
      </c>
      <c r="BD72" s="46" t="n">
        <f aca="false">MAX(BD68:BD71)-MIN(BD68:BD71)+1</f>
        <v>1</v>
      </c>
      <c r="BE72" s="46" t="n">
        <f aca="false">MAX(BE68:BE71)-MIN(BE68:BE71)+1</f>
        <v>1</v>
      </c>
      <c r="BG72" s="46" t="n">
        <f aca="false">MAX(BG68:BG71)-MIN(BG68:BG71)+1</f>
        <v>1</v>
      </c>
      <c r="BH72" s="46" t="n">
        <f aca="false">MAX(BH68:BH71)+1</f>
        <v>1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79"/>
      <c r="G73" s="69"/>
      <c r="H73" s="70" t="str">
        <f aca="false">AE74</f>
        <v>England</v>
      </c>
      <c r="I73" s="104"/>
      <c r="J73" s="105"/>
      <c r="K73" s="106"/>
      <c r="L73" s="106"/>
      <c r="M73" s="106"/>
      <c r="N73" s="106"/>
      <c r="O73" s="106"/>
      <c r="P73" s="106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/>
      </c>
      <c r="T73" s="43" t="str">
        <f aca="false">IF(S73="","",IF(F73&lt;G73,H73&amp;"_win",IF(F73&gt;G73,H73&amp;"_lose",H73&amp;"_draw")))</f>
        <v/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str">
        <f aca="false">IF(OR(F73="",G73=""),"",IF(F73&gt;G73,1,IF(F73&lt;G73,-1,0)))</f>
        <v/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79"/>
      <c r="G74" s="69"/>
      <c r="H74" s="70" t="str">
        <f aca="false">AE76</f>
        <v>Ghana</v>
      </c>
      <c r="I74" s="104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/>
      </c>
      <c r="T74" s="43" t="str">
        <f aca="false">IF(S74="","",IF(F74&lt;G74,H74&amp;"_win",IF(F74&gt;G74,H74&amp;"_lose",H74&amp;"_draw")))</f>
        <v/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str">
        <f aca="false">IF(OR(F74="",G74=""),"",IF(F74&gt;G74,1,IF(F74&lt;G74,-1,0)))</f>
        <v/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0</v>
      </c>
      <c r="AG74" s="42" t="n">
        <f aca="false">COUNTIF($S$7:$T$78,"=" &amp; AE74 &amp; "_draw")</f>
        <v>0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0</v>
      </c>
      <c r="AJ74" s="42" t="n">
        <f aca="false">SUMIF($E$7:$E$78,$AE74,$G$7:$G$78) + SUMIF($H$7:$H$78,$AE74,$F$7:$F$78)</f>
        <v>0</v>
      </c>
      <c r="AL74" s="42" t="n">
        <f aca="false">AI74-AJ74</f>
        <v>0</v>
      </c>
      <c r="AM74" s="42" t="n">
        <f aca="false">AL74-AL78</f>
        <v>0</v>
      </c>
      <c r="AN74" s="42" t="n">
        <f aca="false">AF74*3+AG74</f>
        <v>0</v>
      </c>
      <c r="AO74" s="42" t="n">
        <f aca="false">AN74/AN78*10+BA74</f>
        <v>0</v>
      </c>
      <c r="AP74" s="42" t="n">
        <f aca="false">AO74*10000000+BI74*100+AM74/AM78*10+AI74/AI78*1++IF(AQ74=0,ROW(),AQ74)/2000000</f>
        <v>0.000912985</v>
      </c>
      <c r="AQ74" s="46" t="n">
        <f aca="false">VLOOKUP(AE74,db_fifarank,2,FALSE())</f>
        <v>1825.97</v>
      </c>
      <c r="AR74" s="45" t="n">
        <f aca="false">AP74/AP78</f>
        <v>0.000912152218706604</v>
      </c>
      <c r="AS74" s="45" t="str">
        <f aca="false">IF(SUM(AF74:AH77)=12,J75,"1L")</f>
        <v>1L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0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0</v>
      </c>
      <c r="BA74" s="46" t="n">
        <f aca="false">AZ74/AZ78</f>
        <v>0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0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0</v>
      </c>
      <c r="BI74" s="46" t="n">
        <f aca="false">BH74/BH78</f>
        <v>0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79"/>
      <c r="G75" s="69"/>
      <c r="H75" s="70" t="str">
        <f aca="false">AE64</f>
        <v>Austria</v>
      </c>
      <c r="I75" s="104"/>
      <c r="J75" s="75" t="str">
        <f aca="false">VLOOKUP(1,AD74:AN77,2,FALSE())</f>
        <v>England</v>
      </c>
      <c r="K75" s="76" t="n">
        <f aca="false">L75+M75+N75</f>
        <v>0</v>
      </c>
      <c r="L75" s="76" t="n">
        <f aca="false">VLOOKUP(1,AD74:AN77,3,FALSE())</f>
        <v>0</v>
      </c>
      <c r="M75" s="76" t="n">
        <f aca="false">VLOOKUP(1,AD74:AN77,4,FALSE())</f>
        <v>0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0 - 0</v>
      </c>
      <c r="P75" s="77" t="n">
        <f aca="false">L75*3+M75</f>
        <v>0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/>
      </c>
      <c r="T75" s="43" t="str">
        <f aca="false">IF(S75="","",IF(F75&lt;G75,H75&amp;"_win",IF(F75&gt;G75,H75&amp;"_lose",H75&amp;"_draw")))</f>
        <v/>
      </c>
      <c r="U75" s="42" t="n">
        <f aca="false">IF(S75="",0,IF(VLOOKUP(E75,$AE$8:$AN$77,10,FALSE())=VLOOKUP(H75,$AE$8:$AN$77,10,FALSE()),1,0))</f>
        <v>0</v>
      </c>
      <c r="V75" s="42" t="n">
        <f aca="false">U75*F75</f>
        <v>0</v>
      </c>
      <c r="W75" s="42" t="n">
        <f aca="false">U75*G75</f>
        <v>0</v>
      </c>
      <c r="X75" s="42" t="n">
        <f aca="false">IF(S75="",0,IF(VLOOKUP(E75,$AE$8:$AO$77,11,FALSE())=VLOOKUP(H75,$AE$8:$AO$77,11,FALSE()),1,0))</f>
        <v>0</v>
      </c>
      <c r="Y75" s="42" t="n">
        <f aca="false">X75*F75</f>
        <v>0</v>
      </c>
      <c r="Z75" s="42" t="n">
        <f aca="false">X75*G75</f>
        <v>0</v>
      </c>
      <c r="AA75" s="42" t="n">
        <f aca="false">IF(OR(E75=my_team,H75=my_team),1,IF(INT(MATCH(E75,$AE$8:$AE$78,0)/6)=$AA$6,1,0))</f>
        <v>0</v>
      </c>
      <c r="AB75" s="42" t="str">
        <f aca="false">IF(OR(F75="",G75=""),"",IF(F75&gt;G75,1,IF(F75&lt;G75,-1,0)))</f>
        <v/>
      </c>
      <c r="AD75" s="42" t="n">
        <f aca="false">COUNTIF(AR74:AR77,CONCATENATE("&gt;=",AR75))</f>
        <v>2</v>
      </c>
      <c r="AE75" s="44" t="str">
        <f aca="false">VLOOKUP("Croatia",T,lang,FALSE())</f>
        <v>Croatia</v>
      </c>
      <c r="AF75" s="42" t="n">
        <f aca="false">COUNTIF($S$7:$T$78,"=" &amp; AE75 &amp; "_win")</f>
        <v>0</v>
      </c>
      <c r="AG75" s="42" t="n">
        <f aca="false">COUNTIF($S$7:$T$78,"=" &amp; AE75 &amp; "_draw")</f>
        <v>0</v>
      </c>
      <c r="AH75" s="42" t="n">
        <f aca="false">COUNTIF($S$7:$T$78,"=" &amp; AE75 &amp; "_lose")</f>
        <v>0</v>
      </c>
      <c r="AI75" s="42" t="n">
        <f aca="false">SUMIF($E$7:$E$78,$AE75,$F$7:$F$78) + SUMIF($H$7:$H$78,$AE75,$G$7:$G$78)</f>
        <v>0</v>
      </c>
      <c r="AJ75" s="42" t="n">
        <f aca="false">SUMIF($E$7:$E$78,$AE75,$G$7:$G$78) + SUMIF($H$7:$H$78,$AE75,$F$7:$F$78)</f>
        <v>0</v>
      </c>
      <c r="AL75" s="42" t="n">
        <f aca="false">AI75-AJ75</f>
        <v>0</v>
      </c>
      <c r="AM75" s="42" t="n">
        <f aca="false">AL75-AL78</f>
        <v>0</v>
      </c>
      <c r="AN75" s="42" t="n">
        <f aca="false">AF75*3+AG75</f>
        <v>0</v>
      </c>
      <c r="AO75" s="42" t="n">
        <f aca="false">AN75/AN78*10+BA75</f>
        <v>0</v>
      </c>
      <c r="AP75" s="42" t="n">
        <f aca="false">AO75*10000000+BI75*100+AM75/AM78*10+AI75/AI78*1++IF(AQ75=0,ROW(),AQ75)/2000000</f>
        <v>0.000858535</v>
      </c>
      <c r="AQ75" s="46" t="n">
        <f aca="false">VLOOKUP(AE75,db_fifarank,2,FALSE())</f>
        <v>1717.07</v>
      </c>
      <c r="AR75" s="45" t="n">
        <f aca="false">AP75/AP78</f>
        <v>0.000857751885394913</v>
      </c>
      <c r="AS75" s="45" t="str">
        <f aca="false">IF(SUM(AF74:AH77)=12,J76,"2L")</f>
        <v>2L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79"/>
      <c r="G76" s="69"/>
      <c r="H76" s="70" t="str">
        <f aca="false">AE62</f>
        <v>Argentina</v>
      </c>
      <c r="I76" s="104"/>
      <c r="J76" s="80" t="str">
        <f aca="false">VLOOKUP(2,AD74:AN77,2,FALSE())</f>
        <v>Croatia</v>
      </c>
      <c r="K76" s="81" t="n">
        <f aca="false">L76+M76+N76</f>
        <v>0</v>
      </c>
      <c r="L76" s="81" t="n">
        <f aca="false">VLOOKUP(2,AD74:AN77,3,FALSE())</f>
        <v>0</v>
      </c>
      <c r="M76" s="81" t="n">
        <f aca="false">VLOOKUP(2,AD74:AN77,4,FALSE())</f>
        <v>0</v>
      </c>
      <c r="N76" s="81" t="n">
        <f aca="false">VLOOKUP(2,AD74:AN77,5,FALSE())</f>
        <v>0</v>
      </c>
      <c r="O76" s="81" t="str">
        <f aca="false">VLOOKUP(2,AD74:AN77,6,FALSE()) &amp; " - " &amp; VLOOKUP(2,AD74:AN77,7,FALSE())</f>
        <v>0 - 0</v>
      </c>
      <c r="P76" s="82" t="n">
        <f aca="false">L76*3+M76</f>
        <v>0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/>
      </c>
      <c r="T76" s="43" t="str">
        <f aca="false">IF(S76="","",IF(F76&lt;G76,H76&amp;"_win",IF(F76&gt;G76,H76&amp;"_lose",H76&amp;"_draw")))</f>
        <v/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str">
        <f aca="false">IF(OR(F76="",G76=""),"",IF(F76&gt;G76,1,IF(F76&lt;G76,-1,0)))</f>
        <v/>
      </c>
      <c r="AD76" s="42" t="n">
        <f aca="false">COUNTIF(AR74:AR77,CONCATENATE("&gt;=",AR76))</f>
        <v>4</v>
      </c>
      <c r="AE76" s="44" t="str">
        <f aca="false">VLOOKUP("Ghana",T,lang,FALSE())</f>
        <v>Ghana</v>
      </c>
      <c r="AF76" s="42" t="n">
        <f aca="false">COUNTIF($S$7:$T$78,"=" &amp; AE76 &amp; "_win")</f>
        <v>0</v>
      </c>
      <c r="AG76" s="42" t="n">
        <f aca="false">COUNTIF($S$7:$T$78,"=" &amp; AE76 &amp; "_draw")</f>
        <v>0</v>
      </c>
      <c r="AH76" s="42" t="n">
        <f aca="false">COUNTIF($S$7:$T$78,"=" &amp; AE76 &amp; "_lose")</f>
        <v>0</v>
      </c>
      <c r="AI76" s="42" t="n">
        <f aca="false">SUMIF($E$7:$E$78,$AE76,$F$7:$F$78) + SUMIF($H$7:$H$78,$AE76,$G$7:$G$78)</f>
        <v>0</v>
      </c>
      <c r="AJ76" s="42" t="n">
        <f aca="false">SUMIF($E$7:$E$78,$AE76,$G$7:$G$78) + SUMIF($H$7:$H$78,$AE76,$F$7:$F$78)</f>
        <v>0</v>
      </c>
      <c r="AL76" s="42" t="n">
        <f aca="false">AI76-AJ76</f>
        <v>0</v>
      </c>
      <c r="AM76" s="42" t="n">
        <f aca="false">AL76-AL78</f>
        <v>0</v>
      </c>
      <c r="AN76" s="42" t="n">
        <f aca="false">AF76*3+AG76</f>
        <v>0</v>
      </c>
      <c r="AO76" s="42" t="n">
        <f aca="false">AN76/AN78*10+BA76</f>
        <v>0</v>
      </c>
      <c r="AP76" s="42" t="n">
        <f aca="false">AO76*10000000+BI76*100+AM76/AM78*10+AI76/AI78*1++IF(AQ76=0,ROW(),AQ76)/2000000</f>
        <v>0.000673155</v>
      </c>
      <c r="AQ76" s="46" t="n">
        <f aca="false">VLOOKUP(AE76,db_fifarank,2,FALSE())</f>
        <v>1346.31</v>
      </c>
      <c r="AR76" s="45" t="n">
        <f aca="false">AP76/AP78</f>
        <v>0.000672540980173217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0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0</v>
      </c>
      <c r="BA76" s="46" t="n">
        <f aca="false">AZ76/AZ78</f>
        <v>0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0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0</v>
      </c>
      <c r="BI76" s="46" t="n">
        <f aca="false">BH76/BH78</f>
        <v>0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79"/>
      <c r="G77" s="69"/>
      <c r="H77" s="70" t="str">
        <f aca="false">AE68</f>
        <v>Portugal</v>
      </c>
      <c r="I77" s="104"/>
      <c r="J77" s="80" t="str">
        <f aca="false">VLOOKUP(3,AD74:AN77,2,FALSE())</f>
        <v>Panama</v>
      </c>
      <c r="K77" s="81" t="n">
        <f aca="false">L77+M77+N77</f>
        <v>0</v>
      </c>
      <c r="L77" s="81" t="n">
        <f aca="false">VLOOKUP(3,AD74:AN77,3,FALSE())</f>
        <v>0</v>
      </c>
      <c r="M77" s="81" t="n">
        <f aca="false">VLOOKUP(3,AD74:AN77,4,FALSE())</f>
        <v>0</v>
      </c>
      <c r="N77" s="81" t="n">
        <f aca="false">VLOOKUP(3,AD74:AN77,5,FALSE())</f>
        <v>0</v>
      </c>
      <c r="O77" s="81" t="str">
        <f aca="false">VLOOKUP(3,AD74:AN77,6,FALSE()) &amp; " - " &amp; VLOOKUP(3,AD74:AN77,7,FALSE())</f>
        <v>0 - 0</v>
      </c>
      <c r="P77" s="82" t="n">
        <f aca="false">L77*3+M77</f>
        <v>0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/>
      </c>
      <c r="T77" s="43" t="str">
        <f aca="false">IF(S77="","",IF(F77&lt;G77,H77&amp;"_win",IF(F77&gt;G77,H77&amp;"_lose",H77&amp;"_draw")))</f>
        <v/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str">
        <f aca="false">IF(OR(F77="",G77=""),"",IF(F77&gt;G77,1,IF(F77&lt;G77,-1,0)))</f>
        <v/>
      </c>
      <c r="AD77" s="42" t="n">
        <f aca="false">COUNTIF(AR74:AR77,CONCATENATE("&gt;=",AR77))</f>
        <v>3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0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0</v>
      </c>
      <c r="AL77" s="42" t="n">
        <f aca="false">AI77-AJ77</f>
        <v>0</v>
      </c>
      <c r="AM77" s="42" t="n">
        <f aca="false">AL77-AL78</f>
        <v>0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0.00077032</v>
      </c>
      <c r="AQ77" s="46" t="n">
        <f aca="false">VLOOKUP(AE77,db_fifarank,2,FALSE())</f>
        <v>1540.64</v>
      </c>
      <c r="AR77" s="45" t="n">
        <f aca="false">AP77/AP78</f>
        <v>0.000769617350902886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79"/>
      <c r="G78" s="69"/>
      <c r="H78" s="70" t="str">
        <f aca="false">AE70</f>
        <v>Uzbekistan</v>
      </c>
      <c r="I78" s="104"/>
      <c r="J78" s="94" t="str">
        <f aca="false">VLOOKUP(4,AD74:AN77,2,FALSE())</f>
        <v>Ghana</v>
      </c>
      <c r="K78" s="95" t="n">
        <f aca="false">L78+M78+N78</f>
        <v>0</v>
      </c>
      <c r="L78" s="95" t="n">
        <f aca="false">VLOOKUP(4,AD74:AN77,3,FALSE())</f>
        <v>0</v>
      </c>
      <c r="M78" s="95" t="n">
        <f aca="false">VLOOKUP(4,AD74:AN77,4,FALSE())</f>
        <v>0</v>
      </c>
      <c r="N78" s="95" t="n">
        <f aca="false">VLOOKUP(4,AD74:AN77,5,FALSE())</f>
        <v>0</v>
      </c>
      <c r="O78" s="95" t="str">
        <f aca="false">VLOOKUP(4,AD74:AN77,6,FALSE()) &amp; " - " &amp; VLOOKUP(4,AD74:AN77,7,FALSE())</f>
        <v>0 - 0</v>
      </c>
      <c r="P78" s="96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/>
      </c>
      <c r="T78" s="43" t="str">
        <f aca="false">IF(S78="","",IF(F78&lt;G78,H78&amp;"_win",IF(F78&gt;G78,H78&amp;"_lose",H78&amp;"_draw")))</f>
        <v/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str">
        <f aca="false">IF(OR(F78="",G78=""),"",IF(F78&gt;G78,1,IF(F78&lt;G78,-1,0)))</f>
        <v/>
      </c>
      <c r="AF78" s="42" t="n">
        <f aca="false">MAX(AF74:AF77)-MIN(AF74:AF77)+1</f>
        <v>1</v>
      </c>
      <c r="AG78" s="42" t="n">
        <f aca="false">MAX(AG74:AG77)-MIN(AG74:AG77)+1</f>
        <v>1</v>
      </c>
      <c r="AH78" s="42" t="n">
        <f aca="false">MAX(AH74:AH77)-MIN(AH74:AH77)+1</f>
        <v>1</v>
      </c>
      <c r="AI78" s="42" t="n">
        <f aca="false">MAX(AI74:AI77)+1</f>
        <v>1</v>
      </c>
      <c r="AL78" s="42" t="n">
        <f aca="false">MIN(AL74:AL77)</f>
        <v>0</v>
      </c>
      <c r="AM78" s="42" t="n">
        <f aca="false">MAX(AM74:AM77)+1</f>
        <v>1</v>
      </c>
      <c r="AN78" s="42" t="n">
        <f aca="false">MAX(AN74:AN77)+1</f>
        <v>1</v>
      </c>
      <c r="AO78" s="42" t="n">
        <f aca="false">MAX(AO74:AO77)+1</f>
        <v>1</v>
      </c>
      <c r="AP78" s="42" t="n">
        <f aca="false">MAX(AP74:AP77)+1</f>
        <v>1.000912985</v>
      </c>
      <c r="AT78" s="46" t="n">
        <f aca="false">MAX(AT74:AT77)-MIN(AT74:AT77)+1</f>
        <v>1</v>
      </c>
      <c r="AU78" s="46" t="n">
        <f aca="false">MAX(AU74:AU77)-MIN(AU74:AU77)+1</f>
        <v>1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1</v>
      </c>
      <c r="BB78" s="46" t="n">
        <f aca="false">MAX(BB74:BB77)-MIN(BB74:BB77)+1</f>
        <v>1</v>
      </c>
      <c r="BC78" s="46" t="n">
        <f aca="false">MAX(BC74:BC77)-MIN(BC74:BC77)+1</f>
        <v>1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1</v>
      </c>
    </row>
    <row r="79" customFormat="false" ht="15" hidden="false" customHeight="false" outlineLevel="0" collapsed="false">
      <c r="A79" s="109"/>
      <c r="B79" s="109"/>
      <c r="C79" s="109"/>
      <c r="D79" s="109"/>
      <c r="E79" s="110"/>
      <c r="F79" s="111"/>
      <c r="G79" s="111"/>
      <c r="H79" s="112"/>
      <c r="I79" s="104"/>
      <c r="J79" s="105"/>
      <c r="K79" s="106"/>
      <c r="L79" s="106"/>
      <c r="M79" s="106"/>
      <c r="N79" s="106"/>
      <c r="O79" s="106"/>
      <c r="P79" s="106"/>
    </row>
    <row r="80" customFormat="false" ht="15" hidden="false" customHeight="true" outlineLevel="0" collapsed="false">
      <c r="A80" s="109"/>
      <c r="B80" s="109"/>
      <c r="C80" s="109"/>
      <c r="D80" s="109"/>
      <c r="E80" s="110"/>
      <c r="F80" s="111"/>
      <c r="G80" s="111"/>
      <c r="H80" s="112"/>
      <c r="I80" s="104"/>
      <c r="J80" s="113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11</v>
      </c>
      <c r="AE80" s="44" t="str">
        <f aca="false">J11</f>
        <v>Czech Republic</v>
      </c>
      <c r="AF80" s="42" t="n">
        <f aca="false">VLOOKUP($AE80,$AE$8:$AQ$78,2,FALSE())</f>
        <v>0</v>
      </c>
      <c r="AG80" s="42" t="n">
        <f aca="false">VLOOKUP($AE80,$AE$8:$AQ$78,3,FALSE())</f>
        <v>0</v>
      </c>
      <c r="AH80" s="42" t="n">
        <f aca="false">VLOOKUP($AE80,$AE$8:$AQ$78,4,FALSE())</f>
        <v>1</v>
      </c>
      <c r="AI80" s="42" t="n">
        <f aca="false">VLOOKUP($AE80,$AE$8:$AQ$78,5,FALSE())</f>
        <v>1</v>
      </c>
      <c r="AJ80" s="42" t="n">
        <f aca="false">VLOOKUP($AE80,$AE$8:$AQ$78,6,FALSE())</f>
        <v>2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1</v>
      </c>
      <c r="AN80" s="42" t="n">
        <f aca="false">VLOOKUP($AE80,$AE$8:$AQ$78,10,FALSE())</f>
        <v>0</v>
      </c>
      <c r="AP80" s="42" t="n">
        <f aca="false">AN80/AN92*10000+AM80/AM92*1000+AI80/AI92*100+IF(AQ80=0,ROW(),AQ80)/2000000</f>
        <v>383.334084023333</v>
      </c>
      <c r="AQ80" s="46" t="n">
        <f aca="false">VLOOKUP($AE80,$AE$8:$AQ$78,13,FALSE())</f>
        <v>1501.38</v>
      </c>
      <c r="AR80" s="45" t="str">
        <f aca="false">IF(AD80&lt;=8,RIGHT(AK80,1),"")</f>
        <v/>
      </c>
      <c r="AS80" s="114" t="str">
        <f aca="false">IF(AD80&lt;=8,AE80,"")</f>
        <v/>
      </c>
      <c r="AT80" s="115" t="str">
        <f aca="false">"Ⓐ "&amp;AE80</f>
        <v>Ⓐ Czech Republic</v>
      </c>
    </row>
    <row r="81" customFormat="false" ht="15" hidden="false" customHeight="true" outlineLevel="0" collapsed="false">
      <c r="A81" s="109"/>
      <c r="B81" s="109"/>
      <c r="C81" s="109"/>
      <c r="D81" s="109"/>
      <c r="E81" s="110"/>
      <c r="F81" s="111"/>
      <c r="G81" s="111"/>
      <c r="H81" s="112"/>
      <c r="I81" s="104"/>
      <c r="J81" s="116" t="str">
        <f aca="false">VLOOKUP(1,$AD$80:$AT$91,17,FALSE())</f>
        <v>Ⓒ Morocco</v>
      </c>
      <c r="K81" s="117" t="n">
        <f aca="false">L81+M81+N81</f>
        <v>1</v>
      </c>
      <c r="L81" s="117" t="n">
        <f aca="false">VLOOKUP(1,$AD$80:$AN$91,3,FALSE())</f>
        <v>0</v>
      </c>
      <c r="M81" s="117" t="n">
        <f aca="false">VLOOKUP(1,$AD$80:$AN$91,4,FALSE())</f>
        <v>1</v>
      </c>
      <c r="N81" s="117" t="n">
        <f aca="false">VLOOKUP(1,$AD$80:$AN$91,5,FALSE())</f>
        <v>0</v>
      </c>
      <c r="O81" s="117" t="str">
        <f aca="false">VLOOKUP(1,$AD$80:$AN$91,6,FALSE()) &amp; " - " &amp; VLOOKUP(1,$AD$80:$AN$91,7,FALSE())</f>
        <v>1 - 1</v>
      </c>
      <c r="P81" s="118" t="n">
        <f aca="false">L81*3+M81</f>
        <v>1</v>
      </c>
      <c r="AD81" s="42" t="n">
        <f aca="false">COUNTIF($AP$80:$AP$91,CONCATENATE("&gt;=",AP81))</f>
        <v>2</v>
      </c>
      <c r="AE81" s="44" t="str">
        <f aca="false">J17</f>
        <v>Qatar</v>
      </c>
      <c r="AF81" s="42" t="n">
        <f aca="false">VLOOKUP($AE81,$AE$8:$AQ$78,2,FALSE())</f>
        <v>0</v>
      </c>
      <c r="AG81" s="42" t="n">
        <f aca="false">VLOOKUP($AE81,$AE$8:$AQ$78,3,FALSE())</f>
        <v>1</v>
      </c>
      <c r="AH81" s="42" t="n">
        <f aca="false">VLOOKUP($AE81,$AE$8:$AQ$78,4,FALSE())</f>
        <v>0</v>
      </c>
      <c r="AI81" s="42" t="n">
        <f aca="false">VLOOKUP($AE81,$AE$8:$AQ$78,5,FALSE())</f>
        <v>1</v>
      </c>
      <c r="AJ81" s="42" t="n">
        <f aca="false">VLOOKUP($AE81,$AE$8:$AQ$78,6,FALSE())</f>
        <v>1</v>
      </c>
      <c r="AK81" s="42" t="s">
        <v>3181</v>
      </c>
      <c r="AL81" s="42" t="n">
        <f aca="false">VLOOKUP($AE81,$AE$8:$AQ$78,8,FALSE())</f>
        <v>0</v>
      </c>
      <c r="AM81" s="42" t="n">
        <f aca="false">AL81-$AL$92</f>
        <v>2</v>
      </c>
      <c r="AN81" s="42" t="n">
        <f aca="false">VLOOKUP($AE81,$AE$8:$AQ$78,10,FALSE())</f>
        <v>1</v>
      </c>
      <c r="AP81" s="42" t="n">
        <f aca="false">AN81/AN92*10000+AM81/AM92*1000+AI81/AI92*100+IF(AQ81=0,ROW(),AQ81)/2000000</f>
        <v>5716.66739414667</v>
      </c>
      <c r="AQ81" s="46" t="n">
        <f aca="false">VLOOKUP($AE81,$AE$8:$AQ$78,13,FALSE())</f>
        <v>1454.96</v>
      </c>
      <c r="AR81" s="45" t="str">
        <f aca="false">AR80&amp;IF(AD81&lt;=8,RIGHT(AK81,1),"")</f>
        <v>B</v>
      </c>
      <c r="AS81" s="114" t="str">
        <f aca="false">IF(AD81&lt;=8,AE81,"")</f>
        <v>Qatar</v>
      </c>
      <c r="AT81" s="115" t="str">
        <f aca="false">"Ⓑ "&amp;AE81</f>
        <v>Ⓑ Qatar</v>
      </c>
    </row>
    <row r="82" customFormat="false" ht="15" hidden="false" customHeight="true" outlineLevel="0" collapsed="false">
      <c r="A82" s="109"/>
      <c r="B82" s="109"/>
      <c r="C82" s="109"/>
      <c r="D82" s="109"/>
      <c r="E82" s="110"/>
      <c r="F82" s="111"/>
      <c r="G82" s="111"/>
      <c r="H82" s="112"/>
      <c r="I82" s="104"/>
      <c r="J82" s="119" t="str">
        <f aca="false">VLOOKUP(2,$AD$80:$AT$91,17,FALSE())</f>
        <v>Ⓑ Qatar</v>
      </c>
      <c r="K82" s="120" t="n">
        <f aca="false">L82+M82+N82</f>
        <v>1</v>
      </c>
      <c r="L82" s="120" t="n">
        <f aca="false">VLOOKUP(2,$AD$80:$AN$91,3,FALSE())</f>
        <v>0</v>
      </c>
      <c r="M82" s="120" t="n">
        <f aca="false">VLOOKUP(2,$AD$80:$AN$91,4,FALSE())</f>
        <v>1</v>
      </c>
      <c r="N82" s="120" t="n">
        <f aca="false">VLOOKUP(2,$AD$80:$AN$91,5,FALSE())</f>
        <v>0</v>
      </c>
      <c r="O82" s="120" t="str">
        <f aca="false">VLOOKUP(2,$AD$80:$AN$91,6,FALSE()) &amp; " - " &amp; VLOOKUP(2,$AD$80:$AN$91,7,FALSE())</f>
        <v>1 - 1</v>
      </c>
      <c r="P82" s="121" t="n">
        <f aca="false">L82*3+M82</f>
        <v>1</v>
      </c>
      <c r="AD82" s="42" t="n">
        <f aca="false">COUNTIF($AP$80:$AP$91,CONCATENATE("&gt;=",AP82))</f>
        <v>1</v>
      </c>
      <c r="AE82" s="44" t="str">
        <f aca="false">J23</f>
        <v>Morocco</v>
      </c>
      <c r="AF82" s="42" t="n">
        <f aca="false">VLOOKUP($AE82,$AE$8:$AQ$78,2,FALSE())</f>
        <v>0</v>
      </c>
      <c r="AG82" s="42" t="n">
        <f aca="false">VLOOKUP($AE82,$AE$8:$AQ$78,3,FALSE())</f>
        <v>1</v>
      </c>
      <c r="AH82" s="42" t="n">
        <f aca="false">VLOOKUP($AE82,$AE$8:$AQ$78,4,FALSE())</f>
        <v>0</v>
      </c>
      <c r="AI82" s="42" t="n">
        <f aca="false">VLOOKUP($AE82,$AE$8:$AQ$78,5,FALSE())</f>
        <v>1</v>
      </c>
      <c r="AJ82" s="42" t="n">
        <f aca="false">VLOOKUP($AE82,$AE$8:$AQ$78,6,FALSE())</f>
        <v>1</v>
      </c>
      <c r="AK82" s="42" t="s">
        <v>3182</v>
      </c>
      <c r="AL82" s="42" t="n">
        <f aca="false">VLOOKUP($AE82,$AE$8:$AQ$78,8,FALSE())</f>
        <v>0</v>
      </c>
      <c r="AM82" s="42" t="n">
        <f aca="false">AL82-$AL$92</f>
        <v>2</v>
      </c>
      <c r="AN82" s="42" t="n">
        <f aca="false">VLOOKUP($AE82,$AE$8:$AQ$78,10,FALSE())</f>
        <v>1</v>
      </c>
      <c r="AP82" s="42" t="n">
        <f aca="false">AN82/AN92*10000+AM82/AM92*1000+AI82/AI92*100+IF(AQ82=0,ROW(),AQ82)/2000000</f>
        <v>5716.66754460167</v>
      </c>
      <c r="AQ82" s="46" t="n">
        <f aca="false">VLOOKUP($AE82,$AE$8:$AQ$78,13,FALSE())</f>
        <v>1755.87</v>
      </c>
      <c r="AR82" s="45" t="str">
        <f aca="false">AR81&amp;IF(AD82&lt;=8,RIGHT(AK82,1),"")</f>
        <v>BC</v>
      </c>
      <c r="AS82" s="114" t="str">
        <f aca="false">IF(AD82&lt;=8,AE82,"")</f>
        <v>Morocco</v>
      </c>
      <c r="AT82" s="115" t="str">
        <f aca="false">"Ⓒ "&amp;AE82</f>
        <v>Ⓒ Morocco</v>
      </c>
    </row>
    <row r="83" customFormat="false" ht="15" hidden="false" customHeight="true" outlineLevel="0" collapsed="false">
      <c r="A83" s="109"/>
      <c r="B83" s="109"/>
      <c r="C83" s="122" t="s">
        <v>3183</v>
      </c>
      <c r="D83" s="122"/>
      <c r="E83" s="122"/>
      <c r="F83" s="122"/>
      <c r="G83" s="122"/>
      <c r="H83" s="112"/>
      <c r="I83" s="104"/>
      <c r="J83" s="119" t="str">
        <f aca="false">VLOOKUP(3,$AD$80:$AT$91,17,FALSE())</f>
        <v>Ⓙ Algeria</v>
      </c>
      <c r="K83" s="120" t="n">
        <f aca="false">L83+M83+N83</f>
        <v>0</v>
      </c>
      <c r="L83" s="120" t="n">
        <f aca="false">VLOOKUP(3,$AD$80:$AN$91,3,FALSE())</f>
        <v>0</v>
      </c>
      <c r="M83" s="120" t="n">
        <f aca="false">VLOOKUP(3,$AD$80:$AN$91,4,FALSE())</f>
        <v>0</v>
      </c>
      <c r="N83" s="120" t="n">
        <f aca="false">VLOOKUP(3,$AD$80:$AN$91,5,FALSE())</f>
        <v>0</v>
      </c>
      <c r="O83" s="120" t="str">
        <f aca="false">VLOOKUP(3,$AD$80:$AN$91,6,FALSE()) &amp; " - " &amp; VLOOKUP(3,$AD$80:$AN$91,7,FALSE())</f>
        <v>0 - 0</v>
      </c>
      <c r="P83" s="121" t="n">
        <f aca="false">L83*3+M83</f>
        <v>0</v>
      </c>
      <c r="AD83" s="42" t="n">
        <f aca="false">COUNTIF($AP$80:$AP$91,CONCATENATE("&gt;=",AP83))</f>
        <v>12</v>
      </c>
      <c r="AE83" s="44" t="str">
        <f aca="false">J29</f>
        <v>Turkey</v>
      </c>
      <c r="AF83" s="42" t="n">
        <f aca="false">VLOOKUP($AE83,$AE$8:$AQ$78,2,FALSE())</f>
        <v>0</v>
      </c>
      <c r="AG83" s="42" t="n">
        <f aca="false">VLOOKUP($AE83,$AE$8:$AQ$78,3,FALSE())</f>
        <v>0</v>
      </c>
      <c r="AH83" s="42" t="n">
        <f aca="false">VLOOKUP($AE83,$AE$8:$AQ$78,4,FALSE())</f>
        <v>1</v>
      </c>
      <c r="AI83" s="42" t="n">
        <f aca="false">VLOOKUP($AE83,$AE$8:$AQ$78,5,FALSE())</f>
        <v>0</v>
      </c>
      <c r="AJ83" s="42" t="n">
        <f aca="false">VLOOKUP($AE83,$AE$8:$AQ$78,6,FALSE())</f>
        <v>2</v>
      </c>
      <c r="AK83" s="42" t="s">
        <v>3184</v>
      </c>
      <c r="AL83" s="42" t="n">
        <f aca="false">VLOOKUP($AE83,$AE$8:$AQ$78,8,FALSE())</f>
        <v>-2</v>
      </c>
      <c r="AM83" s="42" t="n">
        <f aca="false">AL83-$AL$92</f>
        <v>0</v>
      </c>
      <c r="AN83" s="42" t="n">
        <f aca="false">VLOOKUP($AE83,$AE$8:$AQ$78,10,FALSE())</f>
        <v>0</v>
      </c>
      <c r="AP83" s="42" t="n">
        <f aca="false">AN83/AN92*10000+AM83/AM92*1000+AI83/AI92*100+IF(AQ83=0,ROW(),AQ83)/2000000</f>
        <v>0.00079952</v>
      </c>
      <c r="AQ83" s="46" t="n">
        <f aca="false">VLOOKUP($AE83,$AE$8:$AQ$78,13,FALSE())</f>
        <v>1599.04</v>
      </c>
      <c r="AR83" s="45" t="str">
        <f aca="false">AR82&amp;IF(AD83&lt;=8,RIGHT(AK83,1),"")</f>
        <v>BC</v>
      </c>
      <c r="AS83" s="114" t="str">
        <f aca="false">IF(AD83&lt;=8,AE83,"")</f>
        <v/>
      </c>
      <c r="AT83" s="115" t="str">
        <f aca="false">"Ⓓ "&amp;AE83</f>
        <v>Ⓓ Turkey</v>
      </c>
    </row>
    <row r="84" customFormat="false" ht="15" hidden="false" customHeight="true" outlineLevel="0" collapsed="false">
      <c r="A84" s="109"/>
      <c r="B84" s="109"/>
      <c r="C84" s="122"/>
      <c r="D84" s="122"/>
      <c r="E84" s="122"/>
      <c r="F84" s="122"/>
      <c r="G84" s="122"/>
      <c r="H84" s="112"/>
      <c r="I84" s="104"/>
      <c r="J84" s="119" t="str">
        <f aca="false">VLOOKUP(4,$AD$80:$AT$91,17,FALSE())</f>
        <v>Ⓖ Egypt</v>
      </c>
      <c r="K84" s="120" t="n">
        <f aca="false">L84+M84+N84</f>
        <v>0</v>
      </c>
      <c r="L84" s="120" t="n">
        <f aca="false">VLOOKUP(4,$AD$80:$AN$91,3,FALSE())</f>
        <v>0</v>
      </c>
      <c r="M84" s="120" t="n">
        <f aca="false">VLOOKUP(4,$AD$80:$AN$91,4,FALSE())</f>
        <v>0</v>
      </c>
      <c r="N84" s="120" t="n">
        <f aca="false">VLOOKUP(4,$AD$80:$AN$91,5,FALSE())</f>
        <v>0</v>
      </c>
      <c r="O84" s="120" t="str">
        <f aca="false">VLOOKUP(4,$AD$80:$AN$91,6,FALSE()) &amp; " - " &amp; VLOOKUP(4,$AD$80:$AN$91,7,FALSE())</f>
        <v>0 - 0</v>
      </c>
      <c r="P84" s="121" t="n">
        <f aca="false">L84*3+M84</f>
        <v>0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/>
      </c>
      <c r="T84" s="43" t="str">
        <f aca="false" t="array" ref="T84:T84">IF(OR(S84="",S84="draw"),INDEX(T,86,lang),S84)</f>
        <v>Austria</v>
      </c>
      <c r="AD84" s="42" t="n">
        <f aca="false">COUNTIF($AP$80:$AP$91,CONCATENATE("&gt;=",AP84))</f>
        <v>7</v>
      </c>
      <c r="AE84" s="44" t="str">
        <f aca="false">J35</f>
        <v>Ivory Coast</v>
      </c>
      <c r="AF84" s="42" t="n">
        <f aca="false">VLOOKUP($AE84,$AE$8:$AQ$78,2,FALSE())</f>
        <v>0</v>
      </c>
      <c r="AG84" s="42" t="n">
        <f aca="false">VLOOKUP($AE84,$AE$8:$AQ$78,3,FALSE())</f>
        <v>0</v>
      </c>
      <c r="AH84" s="42" t="n">
        <f aca="false">VLOOKUP($AE84,$AE$8:$AQ$78,4,FALSE())</f>
        <v>0</v>
      </c>
      <c r="AI84" s="42" t="n">
        <f aca="false">VLOOKUP($AE84,$AE$8:$AQ$78,5,FALSE())</f>
        <v>0</v>
      </c>
      <c r="AJ84" s="42" t="n">
        <f aca="false">VLOOKUP($AE84,$AE$8:$AQ$78,6,FALSE())</f>
        <v>0</v>
      </c>
      <c r="AK84" s="42" t="s">
        <v>3185</v>
      </c>
      <c r="AL84" s="42" t="n">
        <f aca="false">VLOOKUP($AE84,$AE$8:$AQ$78,8,FALSE())</f>
        <v>0</v>
      </c>
      <c r="AM84" s="42" t="n">
        <f aca="false">AL84-$AL$92</f>
        <v>2</v>
      </c>
      <c r="AN84" s="42" t="n">
        <f aca="false">VLOOKUP($AE84,$AE$8:$AQ$78,10,FALSE())</f>
        <v>0</v>
      </c>
      <c r="AP84" s="42" t="n">
        <f aca="false">AN84/AN92*10000+AM84/AM92*1000+AI84/AI92*100+IF(AQ84=0,ROW(),AQ84)/2000000</f>
        <v>666.667433156667</v>
      </c>
      <c r="AQ84" s="46" t="n">
        <f aca="false">VLOOKUP($AE84,$AE$8:$AQ$78,13,FALSE())</f>
        <v>1532.98</v>
      </c>
      <c r="AR84" s="45" t="str">
        <f aca="false">AR83&amp;IF(AD84&lt;=8,RIGHT(AK84,1),"")</f>
        <v>BCE</v>
      </c>
      <c r="AS84" s="114" t="str">
        <f aca="false">IF(AD84&lt;=8,AE84,"")</f>
        <v>Ivory Coast</v>
      </c>
      <c r="AT84" s="115" t="str">
        <f aca="false">"Ⓔ "&amp;AE84</f>
        <v>Ⓔ Ivory Coast</v>
      </c>
    </row>
    <row r="85" customFormat="false" ht="15" hidden="false" customHeight="true" outlineLevel="0" collapsed="false">
      <c r="A85" s="109"/>
      <c r="B85" s="109"/>
      <c r="C85" s="122"/>
      <c r="D85" s="122"/>
      <c r="E85" s="122"/>
      <c r="F85" s="122"/>
      <c r="G85" s="122"/>
      <c r="H85" s="112"/>
      <c r="I85" s="104"/>
      <c r="J85" s="119" t="str">
        <f aca="false">VLOOKUP(5,$AD$80:$AT$91,17,FALSE())</f>
        <v>Ⓘ Norway</v>
      </c>
      <c r="K85" s="120" t="n">
        <f aca="false">L85+M85+N85</f>
        <v>0</v>
      </c>
      <c r="L85" s="120" t="n">
        <f aca="false">VLOOKUP(5,$AD$80:$AN$91,3,FALSE())</f>
        <v>0</v>
      </c>
      <c r="M85" s="120" t="n">
        <f aca="false">VLOOKUP(5,$AD$80:$AN$91,4,FALSE())</f>
        <v>0</v>
      </c>
      <c r="N85" s="120" t="n">
        <f aca="false">VLOOKUP(5,$AD$80:$AN$91,5,FALSE())</f>
        <v>0</v>
      </c>
      <c r="O85" s="120" t="str">
        <f aca="false">VLOOKUP(5,$AD$80:$AN$91,6,FALSE()) &amp; " - " &amp; VLOOKUP(5,$AD$80:$AN$91,7,FALSE())</f>
        <v>0 - 0</v>
      </c>
      <c r="P85" s="121" t="n">
        <f aca="false">L85*3+M85</f>
        <v>0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/>
      </c>
      <c r="T85" s="43" t="str">
        <f aca="false" t="array" ref="T85:T85">IF(OR(S85="",S85="draw"),INDEX(T,87,lang),S85)</f>
        <v>Jordan</v>
      </c>
      <c r="AD85" s="42" t="n">
        <f aca="false">COUNTIF($AP$80:$AP$91,CONCATENATE("&gt;=",AP85))</f>
        <v>8</v>
      </c>
      <c r="AE85" s="44" t="str">
        <f aca="false">J41</f>
        <v>Sweden</v>
      </c>
      <c r="AF85" s="42" t="n">
        <f aca="false">VLOOKUP($AE85,$AE$8:$AQ$78,2,FALSE())</f>
        <v>0</v>
      </c>
      <c r="AG85" s="42" t="n">
        <f aca="false">VLOOKUP($AE85,$AE$8:$AQ$78,3,FALSE())</f>
        <v>0</v>
      </c>
      <c r="AH85" s="42" t="n">
        <f aca="false">VLOOKUP($AE85,$AE$8:$AQ$78,4,FALSE())</f>
        <v>0</v>
      </c>
      <c r="AI85" s="42" t="n">
        <f aca="false">VLOOKUP($AE85,$AE$8:$AQ$78,5,FALSE())</f>
        <v>0</v>
      </c>
      <c r="AJ85" s="42" t="n">
        <f aca="false">VLOOKUP($AE85,$AE$8:$AQ$78,6,FALSE())</f>
        <v>0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2</v>
      </c>
      <c r="AN85" s="42" t="n">
        <f aca="false">VLOOKUP($AE85,$AE$8:$AQ$78,10,FALSE())</f>
        <v>0</v>
      </c>
      <c r="AP85" s="42" t="n">
        <f aca="false">AN85/AN92*10000+AM85/AM92*1000+AI85/AI92*100+IF(AQ85=0,ROW(),AQ85)/2000000</f>
        <v>666.667424051667</v>
      </c>
      <c r="AQ85" s="46" t="n">
        <f aca="false">VLOOKUP($AE85,$AE$8:$AQ$78,13,FALSE())</f>
        <v>1514.77</v>
      </c>
      <c r="AR85" s="45" t="str">
        <f aca="false">AR84&amp;IF(AD85&lt;=8,RIGHT(AK85,1),"")</f>
        <v>BCEF</v>
      </c>
      <c r="AS85" s="114" t="str">
        <f aca="false">IF(AD85&lt;=8,AE85,"")</f>
        <v>Sweden</v>
      </c>
      <c r="AT85" s="115" t="str">
        <f aca="false">"Ⓕ "&amp;AE85</f>
        <v>Ⓕ Sweden</v>
      </c>
    </row>
    <row r="86" customFormat="false" ht="15" hidden="false" customHeight="true" outlineLevel="0" collapsed="false">
      <c r="A86" s="109"/>
      <c r="B86" s="109"/>
      <c r="C86" s="122"/>
      <c r="D86" s="122"/>
      <c r="E86" s="122"/>
      <c r="F86" s="122"/>
      <c r="G86" s="122"/>
      <c r="H86" s="112"/>
      <c r="I86" s="104"/>
      <c r="J86" s="119" t="str">
        <f aca="false">VLOOKUP(6,$AD$80:$AT$91,17,FALSE())</f>
        <v>Ⓛ Panama</v>
      </c>
      <c r="K86" s="120" t="n">
        <f aca="false">L86+M86+N86</f>
        <v>0</v>
      </c>
      <c r="L86" s="120" t="n">
        <f aca="false">VLOOKUP(6,$AD$80:$AN$91,3,FALSE())</f>
        <v>0</v>
      </c>
      <c r="M86" s="120" t="n">
        <f aca="false">VLOOKUP(6,$AD$80:$AN$91,4,FALSE())</f>
        <v>0</v>
      </c>
      <c r="N86" s="120" t="n">
        <f aca="false">VLOOKUP(6,$AD$80:$AN$91,5,FALSE())</f>
        <v>0</v>
      </c>
      <c r="O86" s="120" t="str">
        <f aca="false">VLOOKUP(6,$AD$80:$AN$91,6,FALSE()) &amp; " - " &amp; VLOOKUP(6,$AD$80:$AN$91,7,FALSE())</f>
        <v>0 - 0</v>
      </c>
      <c r="P86" s="121" t="n">
        <f aca="false">L86*3+M86</f>
        <v>0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/>
      </c>
      <c r="T86" s="43" t="str">
        <f aca="false" t="array" ref="T86:T86">IF(OR(S86="",S86="draw"),INDEX(T,88,lang),S86)</f>
        <v>DR Congo</v>
      </c>
      <c r="AD86" s="42" t="n">
        <f aca="false">COUNTIF($AP$80:$AP$91,CONCATENATE("&gt;=",AP86))</f>
        <v>4</v>
      </c>
      <c r="AE86" s="44" t="str">
        <f aca="false">J47</f>
        <v>Egypt</v>
      </c>
      <c r="AF86" s="42" t="n">
        <f aca="false">VLOOKUP($AE86,$AE$8:$AQ$78,2,FALSE())</f>
        <v>0</v>
      </c>
      <c r="AG86" s="42" t="n">
        <f aca="false">VLOOKUP($AE86,$AE$8:$AQ$78,3,FALSE())</f>
        <v>0</v>
      </c>
      <c r="AH86" s="42" t="n">
        <f aca="false">VLOOKUP($AE86,$AE$8:$AQ$78,4,FALSE())</f>
        <v>0</v>
      </c>
      <c r="AI86" s="42" t="n">
        <f aca="false">VLOOKUP($AE86,$AE$8:$AQ$78,5,FALSE())</f>
        <v>0</v>
      </c>
      <c r="AJ86" s="42" t="n">
        <f aca="false">VLOOKUP($AE86,$AE$8:$AQ$78,6,FALSE())</f>
        <v>0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2</v>
      </c>
      <c r="AN86" s="42" t="n">
        <f aca="false">VLOOKUP($AE86,$AE$8:$AQ$78,10,FALSE())</f>
        <v>0</v>
      </c>
      <c r="AP86" s="42" t="n">
        <f aca="false">AN86/AN92*10000+AM86/AM92*1000+AI86/AI92*100+IF(AQ86=0,ROW(),AQ86)/2000000</f>
        <v>666.667448286667</v>
      </c>
      <c r="AQ86" s="46" t="n">
        <f aca="false">VLOOKUP($AE86,$AE$8:$AQ$78,13,FALSE())</f>
        <v>1563.24</v>
      </c>
      <c r="AR86" s="45" t="str">
        <f aca="false">AR85&amp;IF(AD86&lt;=8,RIGHT(AK86,1),"")</f>
        <v>BCEFG</v>
      </c>
      <c r="AS86" s="114" t="str">
        <f aca="false">IF(AD86&lt;=8,AE86,"")</f>
        <v>Egypt</v>
      </c>
      <c r="AT86" s="115" t="str">
        <f aca="false">"Ⓖ "&amp;AE86</f>
        <v>Ⓖ Egypt</v>
      </c>
    </row>
    <row r="87" customFormat="false" ht="15" hidden="false" customHeight="true" outlineLevel="0" collapsed="false">
      <c r="A87" s="109"/>
      <c r="B87" s="109"/>
      <c r="C87" s="122"/>
      <c r="D87" s="122"/>
      <c r="E87" s="122"/>
      <c r="F87" s="122"/>
      <c r="G87" s="122"/>
      <c r="H87" s="112"/>
      <c r="I87" s="104"/>
      <c r="J87" s="119" t="str">
        <f aca="false">VLOOKUP(7,$AD$80:$AT$91,17,FALSE())</f>
        <v>Ⓔ Ivory Coast</v>
      </c>
      <c r="K87" s="120" t="n">
        <f aca="false">L87+M87+N87</f>
        <v>0</v>
      </c>
      <c r="L87" s="120" t="n">
        <f aca="false">VLOOKUP(7,$AD$80:$AN$91,3,FALSE())</f>
        <v>0</v>
      </c>
      <c r="M87" s="120" t="n">
        <f aca="false">VLOOKUP(7,$AD$80:$AN$91,4,FALSE())</f>
        <v>0</v>
      </c>
      <c r="N87" s="120" t="n">
        <f aca="false">VLOOKUP(7,$AD$80:$AN$91,5,FALSE())</f>
        <v>0</v>
      </c>
      <c r="O87" s="120" t="str">
        <f aca="false">VLOOKUP(7,$AD$80:$AN$91,6,FALSE()) &amp; " - " &amp; VLOOKUP(7,$AD$80:$AN$91,7,FALSE())</f>
        <v>0 - 0</v>
      </c>
      <c r="P87" s="121" t="n">
        <f aca="false">L87*3+M87</f>
        <v>0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/>
      </c>
      <c r="T87" s="43" t="str">
        <f aca="false" t="array" ref="T87:T87">IF(OR(S87="",S87="draw"),INDEX(T,89,lang),S87)</f>
        <v>Uzbekistan</v>
      </c>
      <c r="AD87" s="42" t="n">
        <f aca="false">COUNTIF($AP$80:$AP$91,CONCATENATE("&gt;=",AP87))</f>
        <v>10</v>
      </c>
      <c r="AE87" s="44" t="str">
        <f aca="false">J53</f>
        <v>Saudi Arabia</v>
      </c>
      <c r="AF87" s="42" t="n">
        <f aca="false">VLOOKUP($AE87,$AE$8:$AQ$78,2,FALSE())</f>
        <v>0</v>
      </c>
      <c r="AG87" s="42" t="n">
        <f aca="false">VLOOKUP($AE87,$AE$8:$AQ$78,3,FALSE())</f>
        <v>0</v>
      </c>
      <c r="AH87" s="42" t="n">
        <f aca="false">VLOOKUP($AE87,$AE$8:$AQ$78,4,FALSE())</f>
        <v>0</v>
      </c>
      <c r="AI87" s="42" t="n">
        <f aca="false">VLOOKUP($AE87,$AE$8:$AQ$78,5,FALSE())</f>
        <v>0</v>
      </c>
      <c r="AJ87" s="42" t="n">
        <f aca="false">VLOOKUP($AE87,$AE$8:$AQ$78,6,FALSE())</f>
        <v>0</v>
      </c>
      <c r="AK87" s="42" t="s">
        <v>3188</v>
      </c>
      <c r="AL87" s="42" t="n">
        <f aca="false">VLOOKUP($AE87,$AE$8:$AQ$78,8,FALSE())</f>
        <v>0</v>
      </c>
      <c r="AM87" s="42" t="n">
        <f aca="false">AL87-$AL$92</f>
        <v>2</v>
      </c>
      <c r="AN87" s="42" t="n">
        <f aca="false">VLOOKUP($AE87,$AE$8:$AQ$78,10,FALSE())</f>
        <v>0</v>
      </c>
      <c r="AP87" s="42" t="n">
        <f aca="false">AN87/AN92*10000+AM87/AM92*1000+AI87/AI92*100+IF(AQ87=0,ROW(),AQ87)/2000000</f>
        <v>666.667377381667</v>
      </c>
      <c r="AQ87" s="46" t="n">
        <f aca="false">VLOOKUP($AE87,$AE$8:$AQ$78,13,FALSE())</f>
        <v>1421.43</v>
      </c>
      <c r="AR87" s="45" t="str">
        <f aca="false">AR86&amp;IF(AD87&lt;=8,RIGHT(AK87,1),"")</f>
        <v>BCEFG</v>
      </c>
      <c r="AS87" s="114" t="str">
        <f aca="false">IF(AD87&lt;=8,AE87,"")</f>
        <v/>
      </c>
      <c r="AT87" s="115" t="str">
        <f aca="false">"Ⓗ "&amp;AE87</f>
        <v>Ⓗ Saudi Arabia</v>
      </c>
    </row>
    <row r="88" customFormat="false" ht="15" hidden="false" customHeight="true" outlineLevel="0" collapsed="false">
      <c r="A88" s="109"/>
      <c r="B88" s="109"/>
      <c r="C88" s="122"/>
      <c r="D88" s="122"/>
      <c r="E88" s="122"/>
      <c r="F88" s="122"/>
      <c r="G88" s="122"/>
      <c r="H88" s="112"/>
      <c r="I88" s="104"/>
      <c r="J88" s="119" t="str">
        <f aca="false">VLOOKUP(8,$AD$80:$AT$91,17,FALSE())</f>
        <v>Ⓕ Sweden</v>
      </c>
      <c r="K88" s="120" t="n">
        <f aca="false">L88+M88+N88</f>
        <v>0</v>
      </c>
      <c r="L88" s="120" t="n">
        <f aca="false">VLOOKUP(8,$AD$80:$AN$91,3,FALSE())</f>
        <v>0</v>
      </c>
      <c r="M88" s="120" t="n">
        <f aca="false">VLOOKUP(8,$AD$80:$AN$91,4,FALSE())</f>
        <v>0</v>
      </c>
      <c r="N88" s="120" t="n">
        <f aca="false">VLOOKUP(8,$AD$80:$AN$91,5,FALSE())</f>
        <v>0</v>
      </c>
      <c r="O88" s="120" t="str">
        <f aca="false">VLOOKUP(8,$AD$80:$AN$91,6,FALSE()) &amp; " - " &amp; VLOOKUP(8,$AD$80:$AN$91,7,FALSE())</f>
        <v>0 - 0</v>
      </c>
      <c r="P88" s="121" t="n">
        <f aca="false">L88*3+M88</f>
        <v>0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/>
      </c>
      <c r="T88" s="43" t="str">
        <f aca="false" t="array" ref="T88:T88">IF(OR(S88="",S88="draw"),INDEX(T,90,lang),S88)</f>
        <v>Colombia</v>
      </c>
      <c r="AD88" s="42" t="n">
        <f aca="false">COUNTIF($AP$80:$AP$91,CONCATENATE("&gt;=",AP88))</f>
        <v>5</v>
      </c>
      <c r="AE88" s="44" t="str">
        <f aca="false">J59</f>
        <v>Norway</v>
      </c>
      <c r="AF88" s="42" t="n">
        <f aca="false">VLOOKUP($AE88,$AE$8:$AQ$78,2,FALSE())</f>
        <v>0</v>
      </c>
      <c r="AG88" s="42" t="n">
        <f aca="false">VLOOKUP($AE88,$AE$8:$AQ$78,3,FALSE())</f>
        <v>0</v>
      </c>
      <c r="AH88" s="42" t="n">
        <f aca="false">VLOOKUP($AE88,$AE$8:$AQ$78,4,FALSE())</f>
        <v>0</v>
      </c>
      <c r="AI88" s="42" t="n">
        <f aca="false">VLOOKUP($AE88,$AE$8:$AQ$78,5,FALSE())</f>
        <v>0</v>
      </c>
      <c r="AJ88" s="42" t="n">
        <f aca="false">VLOOKUP($AE88,$AE$8:$AQ$78,6,FALSE())</f>
        <v>0</v>
      </c>
      <c r="AK88" s="42" t="s">
        <v>3189</v>
      </c>
      <c r="AL88" s="42" t="n">
        <f aca="false">VLOOKUP($AE88,$AE$8:$AQ$78,8,FALSE())</f>
        <v>0</v>
      </c>
      <c r="AM88" s="42" t="n">
        <f aca="false">AL88-$AL$92</f>
        <v>2</v>
      </c>
      <c r="AN88" s="42" t="n">
        <f aca="false">VLOOKUP($AE88,$AE$8:$AQ$78,10,FALSE())</f>
        <v>0</v>
      </c>
      <c r="AP88" s="42" t="n">
        <f aca="false">AN88/AN92*10000+AM88/AM92*1000+AI88/AI92*100+IF(AQ88=0,ROW(),AQ88)/2000000</f>
        <v>666.667442136667</v>
      </c>
      <c r="AQ88" s="46" t="n">
        <f aca="false">VLOOKUP($AE88,$AE$8:$AQ$78,13,FALSE())</f>
        <v>1550.94</v>
      </c>
      <c r="AR88" s="45" t="str">
        <f aca="false">AR87&amp;IF(AD88&lt;=8,RIGHT(AK88,1),"")</f>
        <v>BCEFGI</v>
      </c>
      <c r="AS88" s="114" t="str">
        <f aca="false">IF(AD88&lt;=8,AE88,"")</f>
        <v>Norway</v>
      </c>
      <c r="AT88" s="115" t="str">
        <f aca="false">"Ⓘ "&amp;AE88</f>
        <v>Ⓘ Norway</v>
      </c>
    </row>
    <row r="89" customFormat="false" ht="15" hidden="false" customHeight="true" outlineLevel="0" collapsed="false">
      <c r="A89" s="109"/>
      <c r="B89" s="109"/>
      <c r="C89" s="109"/>
      <c r="D89" s="109"/>
      <c r="E89" s="110"/>
      <c r="F89" s="111"/>
      <c r="G89" s="111"/>
      <c r="H89" s="112"/>
      <c r="I89" s="104"/>
      <c r="J89" s="123" t="str">
        <f aca="false">VLOOKUP(9,$AD$80:$AT$91,17,FALSE())</f>
        <v>Ⓚ DR Congo</v>
      </c>
      <c r="K89" s="124" t="n">
        <f aca="false">L89+M89+N89</f>
        <v>0</v>
      </c>
      <c r="L89" s="124" t="n">
        <f aca="false">VLOOKUP(9,$AD$80:$AN$91,3,FALSE())</f>
        <v>0</v>
      </c>
      <c r="M89" s="124" t="n">
        <f aca="false">VLOOKUP(9,$AD$80:$AN$91,4,FALSE())</f>
        <v>0</v>
      </c>
      <c r="N89" s="124" t="n">
        <f aca="false">VLOOKUP(9,$AD$80:$AN$91,5,FALSE())</f>
        <v>0</v>
      </c>
      <c r="O89" s="124" t="str">
        <f aca="false">VLOOKUP(9,$AD$80:$AN$91,6,FALSE()) &amp; " - " &amp; VLOOKUP(9,$AD$80:$AN$91,7,FALSE())</f>
        <v>0 - 0</v>
      </c>
      <c r="P89" s="125" t="n">
        <f aca="false">L89*3+M89</f>
        <v>0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/>
      </c>
      <c r="T89" s="43" t="str">
        <f aca="false" t="array" ref="T89:T89">IF(OR(S89="",S89="draw"),INDEX(T,91,lang),S89)</f>
        <v>Panama</v>
      </c>
      <c r="AD89" s="42" t="n">
        <f aca="false">COUNTIF($AP$80:$AP$91,CONCATENATE("&gt;=",AP89))</f>
        <v>3</v>
      </c>
      <c r="AE89" s="44" t="str">
        <f aca="false">J65</f>
        <v>Algeria</v>
      </c>
      <c r="AF89" s="42" t="n">
        <f aca="false">VLOOKUP($AE89,$AE$8:$AQ$78,2,FALSE())</f>
        <v>0</v>
      </c>
      <c r="AG89" s="42" t="n">
        <f aca="false">VLOOKUP($AE89,$AE$8:$AQ$78,3,FALSE())</f>
        <v>0</v>
      </c>
      <c r="AH89" s="42" t="n">
        <f aca="false">VLOOKUP($AE89,$AE$8:$AQ$78,4,FALSE())</f>
        <v>0</v>
      </c>
      <c r="AI89" s="42" t="n">
        <f aca="false">VLOOKUP($AE89,$AE$8:$AQ$78,5,FALSE())</f>
        <v>0</v>
      </c>
      <c r="AJ89" s="42" t="n">
        <f aca="false">VLOOKUP($AE89,$AE$8:$AQ$78,6,FALSE())</f>
        <v>0</v>
      </c>
      <c r="AK89" s="42" t="s">
        <v>3190</v>
      </c>
      <c r="AL89" s="42" t="n">
        <f aca="false">VLOOKUP($AE89,$AE$8:$AQ$78,8,FALSE())</f>
        <v>0</v>
      </c>
      <c r="AM89" s="42" t="n">
        <f aca="false">AL89-$AL$92</f>
        <v>2</v>
      </c>
      <c r="AN89" s="42" t="n">
        <f aca="false">VLOOKUP($AE89,$AE$8:$AQ$78,10,FALSE())</f>
        <v>0</v>
      </c>
      <c r="AP89" s="42" t="n">
        <f aca="false">AN89/AN92*10000+AM89/AM92*1000+AI89/AI92*100+IF(AQ89=0,ROW(),AQ89)/2000000</f>
        <v>666.667448796667</v>
      </c>
      <c r="AQ89" s="46" t="n">
        <f aca="false">VLOOKUP($AE89,$AE$8:$AQ$78,13,FALSE())</f>
        <v>1564.26</v>
      </c>
      <c r="AR89" s="45" t="str">
        <f aca="false">AR88&amp;IF(AD89&lt;=8,RIGHT(AK89,1),"")</f>
        <v>BCEFGIJ</v>
      </c>
      <c r="AS89" s="114" t="str">
        <f aca="false">IF(AD89&lt;=8,AE89,"")</f>
        <v>Algeria</v>
      </c>
      <c r="AT89" s="115" t="str">
        <f aca="false">"Ⓙ "&amp;AE89</f>
        <v>Ⓙ Algeria</v>
      </c>
    </row>
    <row r="90" customFormat="false" ht="15" hidden="false" customHeight="true" outlineLevel="0" collapsed="false">
      <c r="A90" s="109"/>
      <c r="B90" s="109"/>
      <c r="C90" s="109"/>
      <c r="D90" s="109"/>
      <c r="E90" s="110"/>
      <c r="F90" s="111"/>
      <c r="G90" s="111"/>
      <c r="H90" s="112"/>
      <c r="I90" s="104"/>
      <c r="J90" s="123" t="str">
        <f aca="false">VLOOKUP(10,$AD$80:$AT$91,17,FALSE())</f>
        <v>Ⓗ Saudi Arabia</v>
      </c>
      <c r="K90" s="124" t="n">
        <f aca="false">L90+M90+N90</f>
        <v>0</v>
      </c>
      <c r="L90" s="124" t="n">
        <f aca="false">VLOOKUP(10,$AD$80:$AN$91,3,FALSE())</f>
        <v>0</v>
      </c>
      <c r="M90" s="124" t="n">
        <f aca="false">VLOOKUP(10,$AD$80:$AN$91,4,FALSE())</f>
        <v>0</v>
      </c>
      <c r="N90" s="124" t="n">
        <f aca="false">VLOOKUP(10,$AD$80:$AN$91,5,FALSE())</f>
        <v>0</v>
      </c>
      <c r="O90" s="124" t="str">
        <f aca="false">VLOOKUP(10,$AD$80:$AN$91,6,FALSE()) &amp; " - " &amp; VLOOKUP(10,$AD$80:$AN$91,7,FALSE())</f>
        <v>0 - 0</v>
      </c>
      <c r="P90" s="125" t="n">
        <f aca="false">L90*3+M90</f>
        <v>0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/>
      </c>
      <c r="T90" s="43" t="n">
        <f aca="false">IF(OR(S90="",S90="draw"),INDEX(T,92,lang),S90)</f>
        <v>0</v>
      </c>
      <c r="AD90" s="42" t="n">
        <f aca="false">COUNTIF($AP$80:$AP$91,CONCATENATE("&gt;=",AP90))</f>
        <v>9</v>
      </c>
      <c r="AE90" s="44" t="str">
        <f aca="false">J71</f>
        <v>DR Congo</v>
      </c>
      <c r="AF90" s="42" t="n">
        <f aca="false">VLOOKUP($AE90,$AE$8:$AQ$78,2,FALSE())</f>
        <v>0</v>
      </c>
      <c r="AG90" s="42" t="n">
        <f aca="false">VLOOKUP($AE90,$AE$8:$AQ$78,3,FALSE())</f>
        <v>0</v>
      </c>
      <c r="AH90" s="42" t="n">
        <f aca="false">VLOOKUP($AE90,$AE$8:$AQ$78,4,FALSE())</f>
        <v>0</v>
      </c>
      <c r="AI90" s="42" t="n">
        <f aca="false">VLOOKUP($AE90,$AE$8:$AQ$78,5,FALSE())</f>
        <v>0</v>
      </c>
      <c r="AJ90" s="42" t="n">
        <f aca="false">VLOOKUP($AE90,$AE$8:$AQ$78,6,FALSE())</f>
        <v>0</v>
      </c>
      <c r="AK90" s="42" t="s">
        <v>3191</v>
      </c>
      <c r="AL90" s="42" t="n">
        <f aca="false">VLOOKUP($AE90,$AE$8:$AQ$78,8,FALSE())</f>
        <v>0</v>
      </c>
      <c r="AM90" s="42" t="n">
        <f aca="false">AL90-$AL$92</f>
        <v>2</v>
      </c>
      <c r="AN90" s="42" t="n">
        <f aca="false">VLOOKUP($AE90,$AE$8:$AQ$78,10,FALSE())</f>
        <v>0</v>
      </c>
      <c r="AP90" s="42" t="n">
        <f aca="false">AN90/AN92*10000+AM90/AM92*1000+AI90/AI92*100+IF(AQ90=0,ROW(),AQ90)/2000000</f>
        <v>666.667405841667</v>
      </c>
      <c r="AQ90" s="46" t="n">
        <f aca="false">VLOOKUP($AE90,$AE$8:$AQ$78,13,FALSE())</f>
        <v>1478.35</v>
      </c>
      <c r="AR90" s="45" t="str">
        <f aca="false">AR89&amp;IF(AD90&lt;=8,RIGHT(AK90,1),"")</f>
        <v>BCEFGIJ</v>
      </c>
      <c r="AS90" s="114" t="str">
        <f aca="false">IF(AD90&lt;=8,AE90,"")</f>
        <v/>
      </c>
      <c r="AT90" s="115" t="str">
        <f aca="false">"Ⓚ "&amp;AE90</f>
        <v>Ⓚ DR Congo</v>
      </c>
    </row>
    <row r="91" customFormat="false" ht="15" hidden="false" customHeight="true" outlineLevel="0" collapsed="false">
      <c r="A91" s="109"/>
      <c r="B91" s="109"/>
      <c r="C91" s="109"/>
      <c r="D91" s="109"/>
      <c r="E91" s="110"/>
      <c r="F91" s="111"/>
      <c r="G91" s="111"/>
      <c r="H91" s="112"/>
      <c r="I91" s="104"/>
      <c r="J91" s="123" t="str">
        <f aca="false">VLOOKUP(11,$AD$80:$AT$91,17,FALSE())</f>
        <v>Ⓐ Czech Republic</v>
      </c>
      <c r="K91" s="124" t="n">
        <f aca="false">L91+M91+N91</f>
        <v>1</v>
      </c>
      <c r="L91" s="124" t="n">
        <f aca="false">VLOOKUP(11,$AD$80:$AN$91,3,FALSE())</f>
        <v>0</v>
      </c>
      <c r="M91" s="124" t="n">
        <f aca="false">VLOOKUP(11,$AD$80:$AN$91,4,FALSE())</f>
        <v>0</v>
      </c>
      <c r="N91" s="124" t="n">
        <f aca="false">VLOOKUP(11,$AD$80:$AN$91,5,FALSE())</f>
        <v>1</v>
      </c>
      <c r="O91" s="124" t="str">
        <f aca="false">VLOOKUP(11,$AD$80:$AN$91,6,FALSE()) &amp; " - " &amp; VLOOKUP(11,$AD$80:$AN$91,7,FALSE())</f>
        <v>1 - 2</v>
      </c>
      <c r="P91" s="125" t="n">
        <f aca="false">L91*3+M91</f>
        <v>0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/>
      </c>
      <c r="T91" s="43" t="n">
        <f aca="false">IF(OR(S91="",S91="draw"),INDEX(T,93,lang),S91)</f>
        <v>0</v>
      </c>
      <c r="AD91" s="42" t="n">
        <f aca="false">COUNTIF($AP$80:$AP$91,CONCATENATE("&gt;=",AP91))</f>
        <v>6</v>
      </c>
      <c r="AE91" s="44" t="str">
        <f aca="false">J77</f>
        <v>Panama</v>
      </c>
      <c r="AF91" s="42" t="n">
        <f aca="false">VLOOKUP($AE91,$AE$8:$AQ$78,2,FALSE())</f>
        <v>0</v>
      </c>
      <c r="AG91" s="42" t="n">
        <f aca="false">VLOOKUP($AE91,$AE$8:$AQ$78,3,FALSE())</f>
        <v>0</v>
      </c>
      <c r="AH91" s="42" t="n">
        <f aca="false">VLOOKUP($AE91,$AE$8:$AQ$78,4,FALSE())</f>
        <v>0</v>
      </c>
      <c r="AI91" s="42" t="n">
        <f aca="false">VLOOKUP($AE91,$AE$8:$AQ$78,5,FALSE())</f>
        <v>0</v>
      </c>
      <c r="AJ91" s="42" t="n">
        <f aca="false">VLOOKUP($AE91,$AE$8:$AQ$78,6,FALSE())</f>
        <v>0</v>
      </c>
      <c r="AK91" s="42" t="s">
        <v>3192</v>
      </c>
      <c r="AL91" s="42" t="n">
        <f aca="false">VLOOKUP($AE91,$AE$8:$AQ$78,8,FALSE())</f>
        <v>0</v>
      </c>
      <c r="AM91" s="42" t="n">
        <f aca="false">AL91-$AL$92</f>
        <v>2</v>
      </c>
      <c r="AN91" s="42" t="n">
        <f aca="false">VLOOKUP($AE91,$AE$8:$AQ$78,10,FALSE())</f>
        <v>0</v>
      </c>
      <c r="AP91" s="42" t="n">
        <f aca="false">AN91/AN92*10000+AM91/AM92*1000+AI91/AI92*100+IF(AQ91=0,ROW(),AQ91)/2000000</f>
        <v>666.667436986667</v>
      </c>
      <c r="AQ91" s="46" t="n">
        <f aca="false">VLOOKUP($AE91,$AE$8:$AQ$78,13,FALSE())</f>
        <v>1540.64</v>
      </c>
      <c r="AR91" s="45" t="str">
        <f aca="false">AR90&amp;IF(AD91&lt;=8,RIGHT(AK91,1),"")</f>
        <v>BCEFGIJL</v>
      </c>
      <c r="AS91" s="114" t="str">
        <f aca="false">IF(AD91&lt;=8,AE91,"")</f>
        <v>Panama</v>
      </c>
      <c r="AT91" s="115" t="str">
        <f aca="false">"Ⓛ "&amp;AE91</f>
        <v>Ⓛ Panama</v>
      </c>
    </row>
    <row r="92" customFormat="false" ht="15" hidden="false" customHeight="true" outlineLevel="0" collapsed="false">
      <c r="A92" s="109"/>
      <c r="B92" s="109"/>
      <c r="C92" s="109"/>
      <c r="D92" s="109"/>
      <c r="E92" s="110"/>
      <c r="F92" s="111"/>
      <c r="G92" s="111"/>
      <c r="H92" s="112"/>
      <c r="I92" s="104"/>
      <c r="J92" s="126" t="str">
        <f aca="false">VLOOKUP(12,$AD$80:$AT$91,17,FALSE())</f>
        <v>Ⓓ Turkey</v>
      </c>
      <c r="K92" s="127" t="n">
        <f aca="false">L92+M92+N92</f>
        <v>1</v>
      </c>
      <c r="L92" s="127" t="n">
        <f aca="false">VLOOKUP(12,$AD$80:$AN$91,3,FALSE())</f>
        <v>0</v>
      </c>
      <c r="M92" s="127" t="n">
        <f aca="false">VLOOKUP(12,$AD$80:$AN$91,4,FALSE())</f>
        <v>0</v>
      </c>
      <c r="N92" s="127" t="n">
        <f aca="false">VLOOKUP(12,$AD$80:$AN$91,5,FALSE())</f>
        <v>1</v>
      </c>
      <c r="O92" s="127" t="str">
        <f aca="false">VLOOKUP(12,$AD$80:$AN$91,6,FALSE()) &amp; " - " &amp; VLOOKUP(12,$AD$80:$AN$91,7,FALSE())</f>
        <v>0 - 2</v>
      </c>
      <c r="P92" s="128" t="n">
        <f aca="false">L92*3+M92</f>
        <v>0</v>
      </c>
      <c r="AF92" s="42" t="n">
        <f aca="false">MAX(AF80:AF91)+1</f>
        <v>1</v>
      </c>
      <c r="AG92" s="42" t="n">
        <f aca="false">MAX(AG80:AG91)+1</f>
        <v>2</v>
      </c>
      <c r="AH92" s="42" t="n">
        <f aca="false">MAX(AH80:AH91)+1</f>
        <v>2</v>
      </c>
      <c r="AI92" s="42" t="n">
        <f aca="false">MAX(AI80:AI91)+1</f>
        <v>2</v>
      </c>
      <c r="AJ92" s="42" t="n">
        <f aca="false">MAX(AJ80:AJ91)+1</f>
        <v>3</v>
      </c>
      <c r="AL92" s="42" t="n">
        <f aca="false">MIN(AL80:AL91)</f>
        <v>-2</v>
      </c>
      <c r="AM92" s="42" t="n">
        <f aca="false">MAX(AM80:AM91)+1</f>
        <v>3</v>
      </c>
      <c r="AN92" s="42" t="n">
        <f aca="false">MAX(AN80:AN91)+1</f>
        <v>2</v>
      </c>
      <c r="AS92" s="46" t="n">
        <f aca="false">SUM(K9:K78)=144</f>
        <v>0</v>
      </c>
    </row>
    <row r="93" customFormat="false" ht="15" hidden="false" customHeight="false" outlineLevel="0" collapsed="false">
      <c r="A93" s="109"/>
      <c r="B93" s="109"/>
      <c r="C93" s="109"/>
      <c r="D93" s="109"/>
      <c r="E93" s="110"/>
      <c r="F93" s="111"/>
      <c r="G93" s="111"/>
      <c r="H93" s="112"/>
      <c r="I93" s="104"/>
      <c r="J93" s="105"/>
      <c r="K93" s="106"/>
      <c r="L93" s="106"/>
      <c r="M93" s="106"/>
      <c r="N93" s="106"/>
      <c r="O93" s="106"/>
      <c r="P93" s="106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/>
      </c>
      <c r="T95" s="43" t="n">
        <f aca="false">IF(OR(S95="",S95="draw"),INDEX(T,94,lang),S95)</f>
        <v>0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/>
      </c>
      <c r="T96" s="43" t="n">
        <f aca="false">IF(OR(S96="",S96="draw"),INDEX(T,95,lang),S96)</f>
        <v>0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/>
      </c>
      <c r="T97" s="43" t="n">
        <f aca="false">IF(OR(S97="",S97="draw"),INDEX(T,96,lang),S97)</f>
        <v>0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/>
      </c>
      <c r="T98" s="43" t="n">
        <f aca="false">IF(OR(S98="",S98="draw"),INDEX(T,97,lang),S98)</f>
        <v>0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/>
      </c>
      <c r="T102" s="43" t="n">
        <f aca="false">IF(OR(S102="",S102="draw"),INDEX(T,98,lang),S102)</f>
        <v>0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/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n">
        <f aca="false">IF(OR(U102="",U102="draw"),INDEX(T,100,lang),U102)</f>
        <v>0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/>
      </c>
      <c r="T103" s="43" t="n">
        <f aca="false">IF(OR(S103="",S103="draw"),INDEX(T,99,lang),S103)</f>
        <v>0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/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n">
        <f aca="false">IF(OR(U103="",U103="draw"),INDEX(T,101,lang),U103)</f>
        <v>0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/>
      </c>
      <c r="T111" s="43" t="str">
        <f aca="false">S111</f>
        <v/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D6" activeCellId="0" sqref="D6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9" width="2.42"/>
    <col collapsed="false" customWidth="false" hidden="false" outlineLevel="0" max="2" min="2" style="130" width="9.14"/>
    <col collapsed="false" customWidth="true" hidden="false" outlineLevel="0" max="3" min="3" style="130" width="13.71"/>
    <col collapsed="false" customWidth="true" hidden="false" outlineLevel="0" max="11" min="4" style="130" width="9.42"/>
    <col collapsed="false" customWidth="false" hidden="false" outlineLevel="0" max="16384" min="12" style="129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31" t="s">
        <v>3193</v>
      </c>
    </row>
    <row r="3" customFormat="false" ht="15" hidden="false" customHeight="false" outlineLevel="0" collapsed="false">
      <c r="B3" s="132" t="n">
        <f aca="false">MATCH(C3,C6:C500,0)</f>
        <v>102</v>
      </c>
      <c r="C3" s="133" t="str">
        <f aca="false">'2026 World Cup'!AR91</f>
        <v>BCEFGIJL</v>
      </c>
      <c r="D3" s="133" t="str">
        <f aca="false">VLOOKUP($C3,$C$6:$K$500,2,FALSE())</f>
        <v>3E</v>
      </c>
      <c r="E3" s="133" t="str">
        <f aca="false">VLOOKUP($C3,$C$6:$K$500,3,FALSE())</f>
        <v>3G</v>
      </c>
      <c r="F3" s="133" t="str">
        <f aca="false">VLOOKUP($C3,$C$6:$K$500,4,FALSE())</f>
        <v>3B</v>
      </c>
      <c r="G3" s="133" t="str">
        <f aca="false">VLOOKUP($C3,$C$6:$K$500,5,FALSE())</f>
        <v>3C</v>
      </c>
      <c r="H3" s="133" t="str">
        <f aca="false">VLOOKUP($C3,$C$6:$K$500,6,FALSE())</f>
        <v>3J</v>
      </c>
      <c r="I3" s="133" t="str">
        <f aca="false">VLOOKUP($C3,$C$6:$K$500,7,FALSE())</f>
        <v>3F</v>
      </c>
      <c r="J3" s="133" t="str">
        <f aca="false">VLOOKUP($C3,$C$6:$K$500,8,FALSE())</f>
        <v>3L</v>
      </c>
      <c r="K3" s="134" t="str">
        <f aca="false">VLOOKUP($C3,$C$6:$K$500,9,FALSE())</f>
        <v>3I</v>
      </c>
    </row>
    <row r="5" customFormat="false" ht="19.5" hidden="false" customHeight="true" outlineLevel="0" collapsed="false">
      <c r="B5" s="135" t="s">
        <v>3194</v>
      </c>
      <c r="C5" s="136"/>
      <c r="D5" s="137" t="s">
        <v>3195</v>
      </c>
      <c r="E5" s="137" t="s">
        <v>3196</v>
      </c>
      <c r="F5" s="137" t="s">
        <v>3197</v>
      </c>
      <c r="G5" s="137" t="s">
        <v>3198</v>
      </c>
      <c r="H5" s="137" t="s">
        <v>3199</v>
      </c>
      <c r="I5" s="137" t="s">
        <v>3200</v>
      </c>
      <c r="J5" s="137" t="s">
        <v>3201</v>
      </c>
      <c r="K5" s="138" t="s">
        <v>3202</v>
      </c>
    </row>
    <row r="6" customFormat="false" ht="15" hidden="false" customHeight="false" outlineLevel="0" collapsed="false">
      <c r="B6" s="139" t="n">
        <v>1</v>
      </c>
      <c r="C6" s="140" t="s">
        <v>3203</v>
      </c>
      <c r="D6" s="140" t="s">
        <v>3185</v>
      </c>
      <c r="E6" s="140" t="s">
        <v>3190</v>
      </c>
      <c r="F6" s="140" t="s">
        <v>3189</v>
      </c>
      <c r="G6" s="140" t="s">
        <v>3186</v>
      </c>
      <c r="H6" s="140" t="s">
        <v>3188</v>
      </c>
      <c r="I6" s="140" t="s">
        <v>3187</v>
      </c>
      <c r="J6" s="140" t="s">
        <v>3192</v>
      </c>
      <c r="K6" s="141" t="s">
        <v>3191</v>
      </c>
    </row>
    <row r="7" customFormat="false" ht="15" hidden="false" customHeight="false" outlineLevel="0" collapsed="false">
      <c r="B7" s="139" t="n">
        <v>2</v>
      </c>
      <c r="C7" s="140" t="s">
        <v>3204</v>
      </c>
      <c r="D7" s="140" t="s">
        <v>3188</v>
      </c>
      <c r="E7" s="140" t="s">
        <v>3187</v>
      </c>
      <c r="F7" s="140" t="s">
        <v>3189</v>
      </c>
      <c r="G7" s="140" t="s">
        <v>3184</v>
      </c>
      <c r="H7" s="140" t="s">
        <v>3190</v>
      </c>
      <c r="I7" s="140" t="s">
        <v>3186</v>
      </c>
      <c r="J7" s="140" t="s">
        <v>3192</v>
      </c>
      <c r="K7" s="141" t="s">
        <v>3191</v>
      </c>
    </row>
    <row r="8" customFormat="false" ht="15" hidden="false" customHeight="false" outlineLevel="0" collapsed="false">
      <c r="B8" s="139" t="n">
        <v>3</v>
      </c>
      <c r="C8" s="140" t="s">
        <v>3205</v>
      </c>
      <c r="D8" s="140" t="s">
        <v>3185</v>
      </c>
      <c r="E8" s="140" t="s">
        <v>3190</v>
      </c>
      <c r="F8" s="140" t="s">
        <v>3189</v>
      </c>
      <c r="G8" s="140" t="s">
        <v>3184</v>
      </c>
      <c r="H8" s="140" t="s">
        <v>3188</v>
      </c>
      <c r="I8" s="140" t="s">
        <v>3187</v>
      </c>
      <c r="J8" s="140" t="s">
        <v>3192</v>
      </c>
      <c r="K8" s="141" t="s">
        <v>3191</v>
      </c>
    </row>
    <row r="9" customFormat="false" ht="15" hidden="false" customHeight="false" outlineLevel="0" collapsed="false">
      <c r="B9" s="139" t="n">
        <v>4</v>
      </c>
      <c r="C9" s="140" t="s">
        <v>3206</v>
      </c>
      <c r="D9" s="140" t="s">
        <v>3185</v>
      </c>
      <c r="E9" s="140" t="s">
        <v>3190</v>
      </c>
      <c r="F9" s="140" t="s">
        <v>3189</v>
      </c>
      <c r="G9" s="140" t="s">
        <v>3184</v>
      </c>
      <c r="H9" s="140" t="s">
        <v>3188</v>
      </c>
      <c r="I9" s="140" t="s">
        <v>3186</v>
      </c>
      <c r="J9" s="140" t="s">
        <v>3192</v>
      </c>
      <c r="K9" s="141" t="s">
        <v>3191</v>
      </c>
    </row>
    <row r="10" customFormat="false" ht="15" hidden="false" customHeight="false" outlineLevel="0" collapsed="false">
      <c r="B10" s="139" t="n">
        <v>5</v>
      </c>
      <c r="C10" s="140" t="s">
        <v>3207</v>
      </c>
      <c r="D10" s="140" t="s">
        <v>3185</v>
      </c>
      <c r="E10" s="140" t="s">
        <v>3187</v>
      </c>
      <c r="F10" s="140" t="s">
        <v>3189</v>
      </c>
      <c r="G10" s="140" t="s">
        <v>3184</v>
      </c>
      <c r="H10" s="140" t="s">
        <v>3190</v>
      </c>
      <c r="I10" s="140" t="s">
        <v>3186</v>
      </c>
      <c r="J10" s="140" t="s">
        <v>3192</v>
      </c>
      <c r="K10" s="141" t="s">
        <v>3191</v>
      </c>
    </row>
    <row r="11" customFormat="false" ht="15" hidden="false" customHeight="false" outlineLevel="0" collapsed="false">
      <c r="B11" s="139" t="n">
        <v>6</v>
      </c>
      <c r="C11" s="140" t="s">
        <v>3208</v>
      </c>
      <c r="D11" s="140" t="s">
        <v>3185</v>
      </c>
      <c r="E11" s="140" t="s">
        <v>3187</v>
      </c>
      <c r="F11" s="140" t="s">
        <v>3190</v>
      </c>
      <c r="G11" s="140" t="s">
        <v>3184</v>
      </c>
      <c r="H11" s="140" t="s">
        <v>3188</v>
      </c>
      <c r="I11" s="140" t="s">
        <v>3186</v>
      </c>
      <c r="J11" s="140" t="s">
        <v>3192</v>
      </c>
      <c r="K11" s="141" t="s">
        <v>3191</v>
      </c>
    </row>
    <row r="12" customFormat="false" ht="15" hidden="false" customHeight="false" outlineLevel="0" collapsed="false">
      <c r="B12" s="139" t="n">
        <v>7</v>
      </c>
      <c r="C12" s="140" t="s">
        <v>3209</v>
      </c>
      <c r="D12" s="140" t="s">
        <v>3185</v>
      </c>
      <c r="E12" s="140" t="s">
        <v>3187</v>
      </c>
      <c r="F12" s="140" t="s">
        <v>3189</v>
      </c>
      <c r="G12" s="140" t="s">
        <v>3184</v>
      </c>
      <c r="H12" s="140" t="s">
        <v>3188</v>
      </c>
      <c r="I12" s="140" t="s">
        <v>3186</v>
      </c>
      <c r="J12" s="140" t="s">
        <v>3192</v>
      </c>
      <c r="K12" s="141" t="s">
        <v>3191</v>
      </c>
    </row>
    <row r="13" customFormat="false" ht="15" hidden="false" customHeight="false" outlineLevel="0" collapsed="false">
      <c r="B13" s="139" t="n">
        <v>8</v>
      </c>
      <c r="C13" s="140" t="s">
        <v>3210</v>
      </c>
      <c r="D13" s="140" t="s">
        <v>3185</v>
      </c>
      <c r="E13" s="140" t="s">
        <v>3187</v>
      </c>
      <c r="F13" s="140" t="s">
        <v>3190</v>
      </c>
      <c r="G13" s="140" t="s">
        <v>3184</v>
      </c>
      <c r="H13" s="140" t="s">
        <v>3188</v>
      </c>
      <c r="I13" s="140" t="s">
        <v>3186</v>
      </c>
      <c r="J13" s="140" t="s">
        <v>3192</v>
      </c>
      <c r="K13" s="141" t="s">
        <v>3189</v>
      </c>
    </row>
    <row r="14" customFormat="false" ht="15" hidden="false" customHeight="false" outlineLevel="0" collapsed="false">
      <c r="B14" s="139" t="n">
        <v>9</v>
      </c>
      <c r="C14" s="140" t="s">
        <v>3211</v>
      </c>
      <c r="D14" s="140" t="s">
        <v>3185</v>
      </c>
      <c r="E14" s="140" t="s">
        <v>3187</v>
      </c>
      <c r="F14" s="140" t="s">
        <v>3190</v>
      </c>
      <c r="G14" s="140" t="s">
        <v>3184</v>
      </c>
      <c r="H14" s="140" t="s">
        <v>3188</v>
      </c>
      <c r="I14" s="140" t="s">
        <v>3186</v>
      </c>
      <c r="J14" s="140" t="s">
        <v>3189</v>
      </c>
      <c r="K14" s="141" t="s">
        <v>3191</v>
      </c>
    </row>
    <row r="15" customFormat="false" ht="15" hidden="false" customHeight="false" outlineLevel="0" collapsed="false">
      <c r="B15" s="139" t="n">
        <v>10</v>
      </c>
      <c r="C15" s="140" t="s">
        <v>3212</v>
      </c>
      <c r="D15" s="140" t="s">
        <v>3188</v>
      </c>
      <c r="E15" s="140" t="s">
        <v>3187</v>
      </c>
      <c r="F15" s="140" t="s">
        <v>3189</v>
      </c>
      <c r="G15" s="140" t="s">
        <v>3182</v>
      </c>
      <c r="H15" s="140" t="s">
        <v>3190</v>
      </c>
      <c r="I15" s="140" t="s">
        <v>3186</v>
      </c>
      <c r="J15" s="140" t="s">
        <v>3192</v>
      </c>
      <c r="K15" s="141" t="s">
        <v>3191</v>
      </c>
    </row>
    <row r="16" customFormat="false" ht="15" hidden="false" customHeight="false" outlineLevel="0" collapsed="false">
      <c r="B16" s="139" t="n">
        <v>11</v>
      </c>
      <c r="C16" s="140" t="s">
        <v>3213</v>
      </c>
      <c r="D16" s="140" t="s">
        <v>3185</v>
      </c>
      <c r="E16" s="140" t="s">
        <v>3190</v>
      </c>
      <c r="F16" s="140" t="s">
        <v>3189</v>
      </c>
      <c r="G16" s="140" t="s">
        <v>3182</v>
      </c>
      <c r="H16" s="140" t="s">
        <v>3188</v>
      </c>
      <c r="I16" s="140" t="s">
        <v>3187</v>
      </c>
      <c r="J16" s="140" t="s">
        <v>3192</v>
      </c>
      <c r="K16" s="141" t="s">
        <v>3191</v>
      </c>
    </row>
    <row r="17" customFormat="false" ht="15" hidden="false" customHeight="false" outlineLevel="0" collapsed="false">
      <c r="B17" s="139" t="n">
        <v>12</v>
      </c>
      <c r="C17" s="140" t="s">
        <v>3214</v>
      </c>
      <c r="D17" s="140" t="s">
        <v>3185</v>
      </c>
      <c r="E17" s="140" t="s">
        <v>3190</v>
      </c>
      <c r="F17" s="140" t="s">
        <v>3189</v>
      </c>
      <c r="G17" s="140" t="s">
        <v>3182</v>
      </c>
      <c r="H17" s="140" t="s">
        <v>3188</v>
      </c>
      <c r="I17" s="140" t="s">
        <v>3186</v>
      </c>
      <c r="J17" s="140" t="s">
        <v>3192</v>
      </c>
      <c r="K17" s="141" t="s">
        <v>3191</v>
      </c>
    </row>
    <row r="18" customFormat="false" ht="15" hidden="false" customHeight="false" outlineLevel="0" collapsed="false">
      <c r="B18" s="139" t="n">
        <v>13</v>
      </c>
      <c r="C18" s="140" t="s">
        <v>3215</v>
      </c>
      <c r="D18" s="140" t="s">
        <v>3185</v>
      </c>
      <c r="E18" s="140" t="s">
        <v>3187</v>
      </c>
      <c r="F18" s="140" t="s">
        <v>3189</v>
      </c>
      <c r="G18" s="140" t="s">
        <v>3182</v>
      </c>
      <c r="H18" s="140" t="s">
        <v>3190</v>
      </c>
      <c r="I18" s="140" t="s">
        <v>3186</v>
      </c>
      <c r="J18" s="140" t="s">
        <v>3192</v>
      </c>
      <c r="K18" s="141" t="s">
        <v>3191</v>
      </c>
    </row>
    <row r="19" customFormat="false" ht="15" hidden="false" customHeight="false" outlineLevel="0" collapsed="false">
      <c r="B19" s="139" t="n">
        <v>14</v>
      </c>
      <c r="C19" s="140" t="s">
        <v>3216</v>
      </c>
      <c r="D19" s="140" t="s">
        <v>3185</v>
      </c>
      <c r="E19" s="140" t="s">
        <v>3187</v>
      </c>
      <c r="F19" s="140" t="s">
        <v>3190</v>
      </c>
      <c r="G19" s="140" t="s">
        <v>3182</v>
      </c>
      <c r="H19" s="140" t="s">
        <v>3188</v>
      </c>
      <c r="I19" s="140" t="s">
        <v>3186</v>
      </c>
      <c r="J19" s="140" t="s">
        <v>3192</v>
      </c>
      <c r="K19" s="141" t="s">
        <v>3191</v>
      </c>
    </row>
    <row r="20" customFormat="false" ht="15" hidden="false" customHeight="false" outlineLevel="0" collapsed="false">
      <c r="B20" s="139" t="n">
        <v>15</v>
      </c>
      <c r="C20" s="140" t="s">
        <v>3217</v>
      </c>
      <c r="D20" s="140" t="s">
        <v>3185</v>
      </c>
      <c r="E20" s="140" t="s">
        <v>3187</v>
      </c>
      <c r="F20" s="140" t="s">
        <v>3189</v>
      </c>
      <c r="G20" s="140" t="s">
        <v>3182</v>
      </c>
      <c r="H20" s="140" t="s">
        <v>3188</v>
      </c>
      <c r="I20" s="140" t="s">
        <v>3186</v>
      </c>
      <c r="J20" s="140" t="s">
        <v>3192</v>
      </c>
      <c r="K20" s="141" t="s">
        <v>3191</v>
      </c>
    </row>
    <row r="21" customFormat="false" ht="15" hidden="false" customHeight="false" outlineLevel="0" collapsed="false">
      <c r="B21" s="139" t="n">
        <v>16</v>
      </c>
      <c r="C21" s="140" t="s">
        <v>3218</v>
      </c>
      <c r="D21" s="140" t="s">
        <v>3185</v>
      </c>
      <c r="E21" s="140" t="s">
        <v>3187</v>
      </c>
      <c r="F21" s="140" t="s">
        <v>3190</v>
      </c>
      <c r="G21" s="140" t="s">
        <v>3182</v>
      </c>
      <c r="H21" s="140" t="s">
        <v>3188</v>
      </c>
      <c r="I21" s="140" t="s">
        <v>3186</v>
      </c>
      <c r="J21" s="140" t="s">
        <v>3192</v>
      </c>
      <c r="K21" s="141" t="s">
        <v>3189</v>
      </c>
    </row>
    <row r="22" customFormat="false" ht="15" hidden="false" customHeight="false" outlineLevel="0" collapsed="false">
      <c r="B22" s="139" t="n">
        <v>17</v>
      </c>
      <c r="C22" s="140" t="s">
        <v>3219</v>
      </c>
      <c r="D22" s="140" t="s">
        <v>3185</v>
      </c>
      <c r="E22" s="140" t="s">
        <v>3187</v>
      </c>
      <c r="F22" s="140" t="s">
        <v>3190</v>
      </c>
      <c r="G22" s="140" t="s">
        <v>3182</v>
      </c>
      <c r="H22" s="140" t="s">
        <v>3188</v>
      </c>
      <c r="I22" s="140" t="s">
        <v>3186</v>
      </c>
      <c r="J22" s="140" t="s">
        <v>3189</v>
      </c>
      <c r="K22" s="141" t="s">
        <v>3191</v>
      </c>
    </row>
    <row r="23" customFormat="false" ht="15" hidden="false" customHeight="false" outlineLevel="0" collapsed="false">
      <c r="B23" s="139" t="n">
        <v>18</v>
      </c>
      <c r="C23" s="140" t="s">
        <v>3220</v>
      </c>
      <c r="D23" s="140" t="s">
        <v>3188</v>
      </c>
      <c r="E23" s="140" t="s">
        <v>3187</v>
      </c>
      <c r="F23" s="140" t="s">
        <v>3189</v>
      </c>
      <c r="G23" s="140" t="s">
        <v>3182</v>
      </c>
      <c r="H23" s="140" t="s">
        <v>3190</v>
      </c>
      <c r="I23" s="140" t="s">
        <v>3184</v>
      </c>
      <c r="J23" s="140" t="s">
        <v>3192</v>
      </c>
      <c r="K23" s="141" t="s">
        <v>3191</v>
      </c>
    </row>
    <row r="24" customFormat="false" ht="15" hidden="false" customHeight="false" outlineLevel="0" collapsed="false">
      <c r="B24" s="139" t="n">
        <v>19</v>
      </c>
      <c r="C24" s="140" t="s">
        <v>3221</v>
      </c>
      <c r="D24" s="140" t="s">
        <v>3182</v>
      </c>
      <c r="E24" s="140" t="s">
        <v>3190</v>
      </c>
      <c r="F24" s="140" t="s">
        <v>3189</v>
      </c>
      <c r="G24" s="140" t="s">
        <v>3184</v>
      </c>
      <c r="H24" s="140" t="s">
        <v>3188</v>
      </c>
      <c r="I24" s="140" t="s">
        <v>3186</v>
      </c>
      <c r="J24" s="140" t="s">
        <v>3192</v>
      </c>
      <c r="K24" s="141" t="s">
        <v>3191</v>
      </c>
    </row>
    <row r="25" customFormat="false" ht="15" hidden="false" customHeight="false" outlineLevel="0" collapsed="false">
      <c r="B25" s="139" t="n">
        <v>20</v>
      </c>
      <c r="C25" s="140" t="s">
        <v>3222</v>
      </c>
      <c r="D25" s="140" t="s">
        <v>3182</v>
      </c>
      <c r="E25" s="140" t="s">
        <v>3187</v>
      </c>
      <c r="F25" s="140" t="s">
        <v>3189</v>
      </c>
      <c r="G25" s="140" t="s">
        <v>3184</v>
      </c>
      <c r="H25" s="140" t="s">
        <v>3190</v>
      </c>
      <c r="I25" s="140" t="s">
        <v>3186</v>
      </c>
      <c r="J25" s="140" t="s">
        <v>3192</v>
      </c>
      <c r="K25" s="141" t="s">
        <v>3191</v>
      </c>
    </row>
    <row r="26" customFormat="false" ht="15" hidden="false" customHeight="false" outlineLevel="0" collapsed="false">
      <c r="B26" s="139" t="n">
        <v>21</v>
      </c>
      <c r="C26" s="140" t="s">
        <v>3223</v>
      </c>
      <c r="D26" s="140" t="s">
        <v>3182</v>
      </c>
      <c r="E26" s="140" t="s">
        <v>3187</v>
      </c>
      <c r="F26" s="140" t="s">
        <v>3190</v>
      </c>
      <c r="G26" s="140" t="s">
        <v>3184</v>
      </c>
      <c r="H26" s="140" t="s">
        <v>3188</v>
      </c>
      <c r="I26" s="140" t="s">
        <v>3186</v>
      </c>
      <c r="J26" s="140" t="s">
        <v>3192</v>
      </c>
      <c r="K26" s="141" t="s">
        <v>3191</v>
      </c>
    </row>
    <row r="27" customFormat="false" ht="15" hidden="false" customHeight="false" outlineLevel="0" collapsed="false">
      <c r="B27" s="139" t="n">
        <v>22</v>
      </c>
      <c r="C27" s="140" t="s">
        <v>3224</v>
      </c>
      <c r="D27" s="140" t="s">
        <v>3182</v>
      </c>
      <c r="E27" s="140" t="s">
        <v>3187</v>
      </c>
      <c r="F27" s="140" t="s">
        <v>3189</v>
      </c>
      <c r="G27" s="140" t="s">
        <v>3184</v>
      </c>
      <c r="H27" s="140" t="s">
        <v>3188</v>
      </c>
      <c r="I27" s="140" t="s">
        <v>3186</v>
      </c>
      <c r="J27" s="140" t="s">
        <v>3192</v>
      </c>
      <c r="K27" s="141" t="s">
        <v>3191</v>
      </c>
    </row>
    <row r="28" customFormat="false" ht="15" hidden="false" customHeight="false" outlineLevel="0" collapsed="false">
      <c r="B28" s="139" t="n">
        <v>23</v>
      </c>
      <c r="C28" s="140" t="s">
        <v>3225</v>
      </c>
      <c r="D28" s="140" t="s">
        <v>3182</v>
      </c>
      <c r="E28" s="140" t="s">
        <v>3187</v>
      </c>
      <c r="F28" s="140" t="s">
        <v>3190</v>
      </c>
      <c r="G28" s="140" t="s">
        <v>3184</v>
      </c>
      <c r="H28" s="140" t="s">
        <v>3188</v>
      </c>
      <c r="I28" s="140" t="s">
        <v>3186</v>
      </c>
      <c r="J28" s="140" t="s">
        <v>3192</v>
      </c>
      <c r="K28" s="141" t="s">
        <v>3189</v>
      </c>
    </row>
    <row r="29" customFormat="false" ht="15" hidden="false" customHeight="false" outlineLevel="0" collapsed="false">
      <c r="B29" s="139" t="n">
        <v>24</v>
      </c>
      <c r="C29" s="140" t="s">
        <v>3226</v>
      </c>
      <c r="D29" s="140" t="s">
        <v>3182</v>
      </c>
      <c r="E29" s="140" t="s">
        <v>3187</v>
      </c>
      <c r="F29" s="140" t="s">
        <v>3190</v>
      </c>
      <c r="G29" s="140" t="s">
        <v>3184</v>
      </c>
      <c r="H29" s="140" t="s">
        <v>3188</v>
      </c>
      <c r="I29" s="140" t="s">
        <v>3186</v>
      </c>
      <c r="J29" s="140" t="s">
        <v>3189</v>
      </c>
      <c r="K29" s="141" t="s">
        <v>3191</v>
      </c>
    </row>
    <row r="30" customFormat="false" ht="15" hidden="false" customHeight="false" outlineLevel="0" collapsed="false">
      <c r="B30" s="139" t="n">
        <v>25</v>
      </c>
      <c r="C30" s="140" t="s">
        <v>3227</v>
      </c>
      <c r="D30" s="140" t="s">
        <v>3185</v>
      </c>
      <c r="E30" s="140" t="s">
        <v>3190</v>
      </c>
      <c r="F30" s="140" t="s">
        <v>3189</v>
      </c>
      <c r="G30" s="140" t="s">
        <v>3182</v>
      </c>
      <c r="H30" s="140" t="s">
        <v>3188</v>
      </c>
      <c r="I30" s="140" t="s">
        <v>3184</v>
      </c>
      <c r="J30" s="140" t="s">
        <v>3192</v>
      </c>
      <c r="K30" s="141" t="s">
        <v>3191</v>
      </c>
    </row>
    <row r="31" customFormat="false" ht="15" hidden="false" customHeight="false" outlineLevel="0" collapsed="false">
      <c r="B31" s="139" t="n">
        <v>26</v>
      </c>
      <c r="C31" s="140" t="s">
        <v>3228</v>
      </c>
      <c r="D31" s="140" t="s">
        <v>3185</v>
      </c>
      <c r="E31" s="140" t="s">
        <v>3187</v>
      </c>
      <c r="F31" s="140" t="s">
        <v>3189</v>
      </c>
      <c r="G31" s="140" t="s">
        <v>3182</v>
      </c>
      <c r="H31" s="140" t="s">
        <v>3190</v>
      </c>
      <c r="I31" s="140" t="s">
        <v>3184</v>
      </c>
      <c r="J31" s="140" t="s">
        <v>3192</v>
      </c>
      <c r="K31" s="141" t="s">
        <v>3191</v>
      </c>
    </row>
    <row r="32" customFormat="false" ht="15" hidden="false" customHeight="false" outlineLevel="0" collapsed="false">
      <c r="B32" s="139" t="n">
        <v>27</v>
      </c>
      <c r="C32" s="140" t="s">
        <v>3229</v>
      </c>
      <c r="D32" s="140" t="s">
        <v>3185</v>
      </c>
      <c r="E32" s="140" t="s">
        <v>3187</v>
      </c>
      <c r="F32" s="140" t="s">
        <v>3190</v>
      </c>
      <c r="G32" s="140" t="s">
        <v>3182</v>
      </c>
      <c r="H32" s="140" t="s">
        <v>3188</v>
      </c>
      <c r="I32" s="140" t="s">
        <v>3184</v>
      </c>
      <c r="J32" s="140" t="s">
        <v>3192</v>
      </c>
      <c r="K32" s="141" t="s">
        <v>3191</v>
      </c>
    </row>
    <row r="33" customFormat="false" ht="15" hidden="false" customHeight="false" outlineLevel="0" collapsed="false">
      <c r="B33" s="139" t="n">
        <v>28</v>
      </c>
      <c r="C33" s="140" t="s">
        <v>3230</v>
      </c>
      <c r="D33" s="140" t="s">
        <v>3185</v>
      </c>
      <c r="E33" s="140" t="s">
        <v>3187</v>
      </c>
      <c r="F33" s="140" t="s">
        <v>3189</v>
      </c>
      <c r="G33" s="140" t="s">
        <v>3182</v>
      </c>
      <c r="H33" s="140" t="s">
        <v>3188</v>
      </c>
      <c r="I33" s="140" t="s">
        <v>3184</v>
      </c>
      <c r="J33" s="140" t="s">
        <v>3192</v>
      </c>
      <c r="K33" s="141" t="s">
        <v>3191</v>
      </c>
    </row>
    <row r="34" customFormat="false" ht="15" hidden="false" customHeight="false" outlineLevel="0" collapsed="false">
      <c r="B34" s="139" t="n">
        <v>29</v>
      </c>
      <c r="C34" s="140" t="s">
        <v>3231</v>
      </c>
      <c r="D34" s="140" t="s">
        <v>3185</v>
      </c>
      <c r="E34" s="140" t="s">
        <v>3187</v>
      </c>
      <c r="F34" s="140" t="s">
        <v>3190</v>
      </c>
      <c r="G34" s="140" t="s">
        <v>3182</v>
      </c>
      <c r="H34" s="140" t="s">
        <v>3188</v>
      </c>
      <c r="I34" s="140" t="s">
        <v>3184</v>
      </c>
      <c r="J34" s="140" t="s">
        <v>3192</v>
      </c>
      <c r="K34" s="141" t="s">
        <v>3189</v>
      </c>
    </row>
    <row r="35" customFormat="false" ht="15" hidden="false" customHeight="false" outlineLevel="0" collapsed="false">
      <c r="B35" s="139" t="n">
        <v>30</v>
      </c>
      <c r="C35" s="140" t="s">
        <v>3232</v>
      </c>
      <c r="D35" s="140" t="s">
        <v>3185</v>
      </c>
      <c r="E35" s="140" t="s">
        <v>3187</v>
      </c>
      <c r="F35" s="140" t="s">
        <v>3190</v>
      </c>
      <c r="G35" s="140" t="s">
        <v>3182</v>
      </c>
      <c r="H35" s="140" t="s">
        <v>3188</v>
      </c>
      <c r="I35" s="140" t="s">
        <v>3184</v>
      </c>
      <c r="J35" s="140" t="s">
        <v>3189</v>
      </c>
      <c r="K35" s="141" t="s">
        <v>3191</v>
      </c>
    </row>
    <row r="36" customFormat="false" ht="15" hidden="false" customHeight="false" outlineLevel="0" collapsed="false">
      <c r="B36" s="139" t="n">
        <v>31</v>
      </c>
      <c r="C36" s="140" t="s">
        <v>3233</v>
      </c>
      <c r="D36" s="140" t="s">
        <v>3182</v>
      </c>
      <c r="E36" s="140" t="s">
        <v>3190</v>
      </c>
      <c r="F36" s="140" t="s">
        <v>3185</v>
      </c>
      <c r="G36" s="140" t="s">
        <v>3184</v>
      </c>
      <c r="H36" s="140" t="s">
        <v>3189</v>
      </c>
      <c r="I36" s="140" t="s">
        <v>3186</v>
      </c>
      <c r="J36" s="140" t="s">
        <v>3192</v>
      </c>
      <c r="K36" s="141" t="s">
        <v>3191</v>
      </c>
    </row>
    <row r="37" customFormat="false" ht="15" hidden="false" customHeight="false" outlineLevel="0" collapsed="false">
      <c r="B37" s="139" t="n">
        <v>32</v>
      </c>
      <c r="C37" s="140" t="s">
        <v>3234</v>
      </c>
      <c r="D37" s="140" t="s">
        <v>3182</v>
      </c>
      <c r="E37" s="140" t="s">
        <v>3190</v>
      </c>
      <c r="F37" s="140" t="s">
        <v>3185</v>
      </c>
      <c r="G37" s="140" t="s">
        <v>3184</v>
      </c>
      <c r="H37" s="140" t="s">
        <v>3188</v>
      </c>
      <c r="I37" s="140" t="s">
        <v>3186</v>
      </c>
      <c r="J37" s="140" t="s">
        <v>3192</v>
      </c>
      <c r="K37" s="141" t="s">
        <v>3191</v>
      </c>
    </row>
    <row r="38" customFormat="false" ht="15" hidden="false" customHeight="false" outlineLevel="0" collapsed="false">
      <c r="B38" s="139" t="n">
        <v>33</v>
      </c>
      <c r="C38" s="140" t="s">
        <v>3235</v>
      </c>
      <c r="D38" s="140" t="s">
        <v>3182</v>
      </c>
      <c r="E38" s="140" t="s">
        <v>3185</v>
      </c>
      <c r="F38" s="140" t="s">
        <v>3189</v>
      </c>
      <c r="G38" s="140" t="s">
        <v>3184</v>
      </c>
      <c r="H38" s="140" t="s">
        <v>3188</v>
      </c>
      <c r="I38" s="140" t="s">
        <v>3186</v>
      </c>
      <c r="J38" s="140" t="s">
        <v>3192</v>
      </c>
      <c r="K38" s="141" t="s">
        <v>3191</v>
      </c>
    </row>
    <row r="39" customFormat="false" ht="15" hidden="false" customHeight="false" outlineLevel="0" collapsed="false">
      <c r="B39" s="139" t="n">
        <v>34</v>
      </c>
      <c r="C39" s="140" t="s">
        <v>3236</v>
      </c>
      <c r="D39" s="140" t="s">
        <v>3182</v>
      </c>
      <c r="E39" s="140" t="s">
        <v>3190</v>
      </c>
      <c r="F39" s="140" t="s">
        <v>3185</v>
      </c>
      <c r="G39" s="140" t="s">
        <v>3184</v>
      </c>
      <c r="H39" s="140" t="s">
        <v>3188</v>
      </c>
      <c r="I39" s="140" t="s">
        <v>3186</v>
      </c>
      <c r="J39" s="140" t="s">
        <v>3192</v>
      </c>
      <c r="K39" s="141" t="s">
        <v>3189</v>
      </c>
    </row>
    <row r="40" customFormat="false" ht="15" hidden="false" customHeight="false" outlineLevel="0" collapsed="false">
      <c r="B40" s="139" t="n">
        <v>35</v>
      </c>
      <c r="C40" s="140" t="s">
        <v>3237</v>
      </c>
      <c r="D40" s="140" t="s">
        <v>3182</v>
      </c>
      <c r="E40" s="140" t="s">
        <v>3190</v>
      </c>
      <c r="F40" s="140" t="s">
        <v>3185</v>
      </c>
      <c r="G40" s="140" t="s">
        <v>3184</v>
      </c>
      <c r="H40" s="140" t="s">
        <v>3188</v>
      </c>
      <c r="I40" s="140" t="s">
        <v>3186</v>
      </c>
      <c r="J40" s="140" t="s">
        <v>3189</v>
      </c>
      <c r="K40" s="141" t="s">
        <v>3191</v>
      </c>
    </row>
    <row r="41" customFormat="false" ht="15" hidden="false" customHeight="false" outlineLevel="0" collapsed="false">
      <c r="B41" s="139" t="n">
        <v>36</v>
      </c>
      <c r="C41" s="140" t="s">
        <v>3238</v>
      </c>
      <c r="D41" s="140" t="s">
        <v>3182</v>
      </c>
      <c r="E41" s="140" t="s">
        <v>3187</v>
      </c>
      <c r="F41" s="140" t="s">
        <v>3185</v>
      </c>
      <c r="G41" s="140" t="s">
        <v>3184</v>
      </c>
      <c r="H41" s="140" t="s">
        <v>3190</v>
      </c>
      <c r="I41" s="140" t="s">
        <v>3186</v>
      </c>
      <c r="J41" s="140" t="s">
        <v>3192</v>
      </c>
      <c r="K41" s="141" t="s">
        <v>3191</v>
      </c>
    </row>
    <row r="42" customFormat="false" ht="15" hidden="false" customHeight="false" outlineLevel="0" collapsed="false">
      <c r="B42" s="139" t="n">
        <v>37</v>
      </c>
      <c r="C42" s="140" t="s">
        <v>3239</v>
      </c>
      <c r="D42" s="140" t="s">
        <v>3182</v>
      </c>
      <c r="E42" s="140" t="s">
        <v>3187</v>
      </c>
      <c r="F42" s="140" t="s">
        <v>3185</v>
      </c>
      <c r="G42" s="140" t="s">
        <v>3184</v>
      </c>
      <c r="H42" s="140" t="s">
        <v>3189</v>
      </c>
      <c r="I42" s="140" t="s">
        <v>3186</v>
      </c>
      <c r="J42" s="140" t="s">
        <v>3192</v>
      </c>
      <c r="K42" s="141" t="s">
        <v>3191</v>
      </c>
    </row>
    <row r="43" customFormat="false" ht="15" hidden="false" customHeight="false" outlineLevel="0" collapsed="false">
      <c r="B43" s="139" t="n">
        <v>38</v>
      </c>
      <c r="C43" s="140" t="s">
        <v>3240</v>
      </c>
      <c r="D43" s="140" t="s">
        <v>3182</v>
      </c>
      <c r="E43" s="140" t="s">
        <v>3187</v>
      </c>
      <c r="F43" s="140" t="s">
        <v>3185</v>
      </c>
      <c r="G43" s="140" t="s">
        <v>3184</v>
      </c>
      <c r="H43" s="140" t="s">
        <v>3190</v>
      </c>
      <c r="I43" s="140" t="s">
        <v>3186</v>
      </c>
      <c r="J43" s="140" t="s">
        <v>3192</v>
      </c>
      <c r="K43" s="141" t="s">
        <v>3189</v>
      </c>
    </row>
    <row r="44" customFormat="false" ht="15" hidden="false" customHeight="false" outlineLevel="0" collapsed="false">
      <c r="B44" s="139" t="n">
        <v>39</v>
      </c>
      <c r="C44" s="140" t="s">
        <v>3241</v>
      </c>
      <c r="D44" s="140" t="s">
        <v>3182</v>
      </c>
      <c r="E44" s="140" t="s">
        <v>3187</v>
      </c>
      <c r="F44" s="140" t="s">
        <v>3185</v>
      </c>
      <c r="G44" s="140" t="s">
        <v>3184</v>
      </c>
      <c r="H44" s="140" t="s">
        <v>3190</v>
      </c>
      <c r="I44" s="140" t="s">
        <v>3186</v>
      </c>
      <c r="J44" s="140" t="s">
        <v>3189</v>
      </c>
      <c r="K44" s="141" t="s">
        <v>3191</v>
      </c>
    </row>
    <row r="45" customFormat="false" ht="15" hidden="false" customHeight="false" outlineLevel="0" collapsed="false">
      <c r="B45" s="139" t="n">
        <v>40</v>
      </c>
      <c r="C45" s="140" t="s">
        <v>3242</v>
      </c>
      <c r="D45" s="140" t="s">
        <v>3182</v>
      </c>
      <c r="E45" s="140" t="s">
        <v>3187</v>
      </c>
      <c r="F45" s="140" t="s">
        <v>3185</v>
      </c>
      <c r="G45" s="140" t="s">
        <v>3184</v>
      </c>
      <c r="H45" s="140" t="s">
        <v>3188</v>
      </c>
      <c r="I45" s="140" t="s">
        <v>3186</v>
      </c>
      <c r="J45" s="140" t="s">
        <v>3192</v>
      </c>
      <c r="K45" s="141" t="s">
        <v>3191</v>
      </c>
    </row>
    <row r="46" customFormat="false" ht="15" hidden="false" customHeight="false" outlineLevel="0" collapsed="false">
      <c r="B46" s="139" t="n">
        <v>41</v>
      </c>
      <c r="C46" s="140" t="s">
        <v>3243</v>
      </c>
      <c r="D46" s="140" t="s">
        <v>3182</v>
      </c>
      <c r="E46" s="140" t="s">
        <v>3187</v>
      </c>
      <c r="F46" s="140" t="s">
        <v>3190</v>
      </c>
      <c r="G46" s="140" t="s">
        <v>3184</v>
      </c>
      <c r="H46" s="140" t="s">
        <v>3188</v>
      </c>
      <c r="I46" s="140" t="s">
        <v>3186</v>
      </c>
      <c r="J46" s="140" t="s">
        <v>3192</v>
      </c>
      <c r="K46" s="141" t="s">
        <v>3185</v>
      </c>
    </row>
    <row r="47" customFormat="false" ht="15" hidden="false" customHeight="false" outlineLevel="0" collapsed="false">
      <c r="B47" s="139" t="n">
        <v>42</v>
      </c>
      <c r="C47" s="140" t="s">
        <v>3244</v>
      </c>
      <c r="D47" s="140" t="s">
        <v>3182</v>
      </c>
      <c r="E47" s="140" t="s">
        <v>3187</v>
      </c>
      <c r="F47" s="140" t="s">
        <v>3190</v>
      </c>
      <c r="G47" s="140" t="s">
        <v>3184</v>
      </c>
      <c r="H47" s="140" t="s">
        <v>3188</v>
      </c>
      <c r="I47" s="140" t="s">
        <v>3186</v>
      </c>
      <c r="J47" s="140" t="s">
        <v>3185</v>
      </c>
      <c r="K47" s="141" t="s">
        <v>3191</v>
      </c>
    </row>
    <row r="48" customFormat="false" ht="15" hidden="false" customHeight="false" outlineLevel="0" collapsed="false">
      <c r="B48" s="139" t="n">
        <v>43</v>
      </c>
      <c r="C48" s="140" t="s">
        <v>3245</v>
      </c>
      <c r="D48" s="140" t="s">
        <v>3182</v>
      </c>
      <c r="E48" s="140" t="s">
        <v>3187</v>
      </c>
      <c r="F48" s="140" t="s">
        <v>3185</v>
      </c>
      <c r="G48" s="140" t="s">
        <v>3184</v>
      </c>
      <c r="H48" s="140" t="s">
        <v>3188</v>
      </c>
      <c r="I48" s="140" t="s">
        <v>3186</v>
      </c>
      <c r="J48" s="140" t="s">
        <v>3192</v>
      </c>
      <c r="K48" s="141" t="s">
        <v>3189</v>
      </c>
    </row>
    <row r="49" customFormat="false" ht="15" hidden="false" customHeight="false" outlineLevel="0" collapsed="false">
      <c r="B49" s="139" t="n">
        <v>44</v>
      </c>
      <c r="C49" s="140" t="s">
        <v>3246</v>
      </c>
      <c r="D49" s="140" t="s">
        <v>3182</v>
      </c>
      <c r="E49" s="140" t="s">
        <v>3187</v>
      </c>
      <c r="F49" s="140" t="s">
        <v>3185</v>
      </c>
      <c r="G49" s="140" t="s">
        <v>3184</v>
      </c>
      <c r="H49" s="140" t="s">
        <v>3188</v>
      </c>
      <c r="I49" s="140" t="s">
        <v>3186</v>
      </c>
      <c r="J49" s="140" t="s">
        <v>3189</v>
      </c>
      <c r="K49" s="141" t="s">
        <v>3191</v>
      </c>
    </row>
    <row r="50" customFormat="false" ht="15" hidden="false" customHeight="false" outlineLevel="0" collapsed="false">
      <c r="B50" s="139" t="n">
        <v>45</v>
      </c>
      <c r="C50" s="140" t="s">
        <v>3247</v>
      </c>
      <c r="D50" s="140" t="s">
        <v>3182</v>
      </c>
      <c r="E50" s="140" t="s">
        <v>3187</v>
      </c>
      <c r="F50" s="140" t="s">
        <v>3190</v>
      </c>
      <c r="G50" s="140" t="s">
        <v>3184</v>
      </c>
      <c r="H50" s="140" t="s">
        <v>3188</v>
      </c>
      <c r="I50" s="140" t="s">
        <v>3186</v>
      </c>
      <c r="J50" s="140" t="s">
        <v>3185</v>
      </c>
      <c r="K50" s="141" t="s">
        <v>3189</v>
      </c>
    </row>
    <row r="51" customFormat="false" ht="15" hidden="false" customHeight="false" outlineLevel="0" collapsed="false">
      <c r="B51" s="139" t="n">
        <v>46</v>
      </c>
      <c r="C51" s="140" t="s">
        <v>3248</v>
      </c>
      <c r="D51" s="140" t="s">
        <v>3188</v>
      </c>
      <c r="E51" s="140" t="s">
        <v>3190</v>
      </c>
      <c r="F51" s="140" t="s">
        <v>3181</v>
      </c>
      <c r="G51" s="140" t="s">
        <v>3186</v>
      </c>
      <c r="H51" s="140" t="s">
        <v>3189</v>
      </c>
      <c r="I51" s="140" t="s">
        <v>3187</v>
      </c>
      <c r="J51" s="140" t="s">
        <v>3192</v>
      </c>
      <c r="K51" s="141" t="s">
        <v>3191</v>
      </c>
    </row>
    <row r="52" customFormat="false" ht="15" hidden="false" customHeight="false" outlineLevel="0" collapsed="false">
      <c r="B52" s="139" t="n">
        <v>47</v>
      </c>
      <c r="C52" s="140" t="s">
        <v>3249</v>
      </c>
      <c r="D52" s="140" t="s">
        <v>3185</v>
      </c>
      <c r="E52" s="140" t="s">
        <v>3190</v>
      </c>
      <c r="F52" s="140" t="s">
        <v>3189</v>
      </c>
      <c r="G52" s="140" t="s">
        <v>3181</v>
      </c>
      <c r="H52" s="140" t="s">
        <v>3188</v>
      </c>
      <c r="I52" s="140" t="s">
        <v>3187</v>
      </c>
      <c r="J52" s="140" t="s">
        <v>3192</v>
      </c>
      <c r="K52" s="141" t="s">
        <v>3191</v>
      </c>
    </row>
    <row r="53" customFormat="false" ht="15" hidden="false" customHeight="false" outlineLevel="0" collapsed="false">
      <c r="B53" s="139" t="n">
        <v>48</v>
      </c>
      <c r="C53" s="140" t="s">
        <v>3250</v>
      </c>
      <c r="D53" s="140" t="s">
        <v>3185</v>
      </c>
      <c r="E53" s="140" t="s">
        <v>3190</v>
      </c>
      <c r="F53" s="140" t="s">
        <v>3181</v>
      </c>
      <c r="G53" s="140" t="s">
        <v>3186</v>
      </c>
      <c r="H53" s="140" t="s">
        <v>3189</v>
      </c>
      <c r="I53" s="140" t="s">
        <v>3188</v>
      </c>
      <c r="J53" s="140" t="s">
        <v>3192</v>
      </c>
      <c r="K53" s="141" t="s">
        <v>3191</v>
      </c>
    </row>
    <row r="54" customFormat="false" ht="15" hidden="false" customHeight="false" outlineLevel="0" collapsed="false">
      <c r="B54" s="139" t="n">
        <v>49</v>
      </c>
      <c r="C54" s="140" t="s">
        <v>3251</v>
      </c>
      <c r="D54" s="140" t="s">
        <v>3185</v>
      </c>
      <c r="E54" s="140" t="s">
        <v>3190</v>
      </c>
      <c r="F54" s="140" t="s">
        <v>3181</v>
      </c>
      <c r="G54" s="140" t="s">
        <v>3186</v>
      </c>
      <c r="H54" s="140" t="s">
        <v>3189</v>
      </c>
      <c r="I54" s="140" t="s">
        <v>3187</v>
      </c>
      <c r="J54" s="140" t="s">
        <v>3192</v>
      </c>
      <c r="K54" s="141" t="s">
        <v>3191</v>
      </c>
    </row>
    <row r="55" customFormat="false" ht="15" hidden="false" customHeight="false" outlineLevel="0" collapsed="false">
      <c r="B55" s="139" t="n">
        <v>50</v>
      </c>
      <c r="C55" s="140" t="s">
        <v>3252</v>
      </c>
      <c r="D55" s="140" t="s">
        <v>3185</v>
      </c>
      <c r="E55" s="140" t="s">
        <v>3190</v>
      </c>
      <c r="F55" s="140" t="s">
        <v>3181</v>
      </c>
      <c r="G55" s="140" t="s">
        <v>3186</v>
      </c>
      <c r="H55" s="140" t="s">
        <v>3188</v>
      </c>
      <c r="I55" s="140" t="s">
        <v>3187</v>
      </c>
      <c r="J55" s="140" t="s">
        <v>3192</v>
      </c>
      <c r="K55" s="141" t="s">
        <v>3191</v>
      </c>
    </row>
    <row r="56" customFormat="false" ht="15" hidden="false" customHeight="false" outlineLevel="0" collapsed="false">
      <c r="B56" s="139" t="n">
        <v>51</v>
      </c>
      <c r="C56" s="140" t="s">
        <v>3253</v>
      </c>
      <c r="D56" s="140" t="s">
        <v>3185</v>
      </c>
      <c r="E56" s="140" t="s">
        <v>3187</v>
      </c>
      <c r="F56" s="140" t="s">
        <v>3181</v>
      </c>
      <c r="G56" s="140" t="s">
        <v>3186</v>
      </c>
      <c r="H56" s="140" t="s">
        <v>3189</v>
      </c>
      <c r="I56" s="140" t="s">
        <v>3188</v>
      </c>
      <c r="J56" s="140" t="s">
        <v>3192</v>
      </c>
      <c r="K56" s="141" t="s">
        <v>3191</v>
      </c>
    </row>
    <row r="57" customFormat="false" ht="15" hidden="false" customHeight="false" outlineLevel="0" collapsed="false">
      <c r="B57" s="139" t="n">
        <v>52</v>
      </c>
      <c r="C57" s="140" t="s">
        <v>3254</v>
      </c>
      <c r="D57" s="140" t="s">
        <v>3185</v>
      </c>
      <c r="E57" s="140" t="s">
        <v>3190</v>
      </c>
      <c r="F57" s="140" t="s">
        <v>3181</v>
      </c>
      <c r="G57" s="140" t="s">
        <v>3186</v>
      </c>
      <c r="H57" s="140" t="s">
        <v>3188</v>
      </c>
      <c r="I57" s="140" t="s">
        <v>3187</v>
      </c>
      <c r="J57" s="140" t="s">
        <v>3192</v>
      </c>
      <c r="K57" s="141" t="s">
        <v>3189</v>
      </c>
    </row>
    <row r="58" customFormat="false" ht="15" hidden="false" customHeight="false" outlineLevel="0" collapsed="false">
      <c r="B58" s="139" t="n">
        <v>53</v>
      </c>
      <c r="C58" s="140" t="s">
        <v>3255</v>
      </c>
      <c r="D58" s="140" t="s">
        <v>3185</v>
      </c>
      <c r="E58" s="140" t="s">
        <v>3190</v>
      </c>
      <c r="F58" s="140" t="s">
        <v>3181</v>
      </c>
      <c r="G58" s="140" t="s">
        <v>3186</v>
      </c>
      <c r="H58" s="140" t="s">
        <v>3188</v>
      </c>
      <c r="I58" s="140" t="s">
        <v>3187</v>
      </c>
      <c r="J58" s="140" t="s">
        <v>3189</v>
      </c>
      <c r="K58" s="141" t="s">
        <v>3191</v>
      </c>
    </row>
    <row r="59" customFormat="false" ht="15" hidden="false" customHeight="false" outlineLevel="0" collapsed="false">
      <c r="B59" s="139" t="n">
        <v>54</v>
      </c>
      <c r="C59" s="140" t="s">
        <v>3256</v>
      </c>
      <c r="D59" s="140" t="s">
        <v>3188</v>
      </c>
      <c r="E59" s="140" t="s">
        <v>3190</v>
      </c>
      <c r="F59" s="140" t="s">
        <v>3181</v>
      </c>
      <c r="G59" s="140" t="s">
        <v>3184</v>
      </c>
      <c r="H59" s="140" t="s">
        <v>3189</v>
      </c>
      <c r="I59" s="140" t="s">
        <v>3187</v>
      </c>
      <c r="J59" s="140" t="s">
        <v>3192</v>
      </c>
      <c r="K59" s="141" t="s">
        <v>3191</v>
      </c>
    </row>
    <row r="60" customFormat="false" ht="15" hidden="false" customHeight="false" outlineLevel="0" collapsed="false">
      <c r="B60" s="139" t="n">
        <v>55</v>
      </c>
      <c r="C60" s="140" t="s">
        <v>3257</v>
      </c>
      <c r="D60" s="140" t="s">
        <v>3188</v>
      </c>
      <c r="E60" s="140" t="s">
        <v>3190</v>
      </c>
      <c r="F60" s="140" t="s">
        <v>3181</v>
      </c>
      <c r="G60" s="140" t="s">
        <v>3184</v>
      </c>
      <c r="H60" s="140" t="s">
        <v>3189</v>
      </c>
      <c r="I60" s="140" t="s">
        <v>3186</v>
      </c>
      <c r="J60" s="140" t="s">
        <v>3192</v>
      </c>
      <c r="K60" s="141" t="s">
        <v>3191</v>
      </c>
    </row>
    <row r="61" customFormat="false" ht="15" hidden="false" customHeight="false" outlineLevel="0" collapsed="false">
      <c r="B61" s="139" t="n">
        <v>56</v>
      </c>
      <c r="C61" s="140" t="s">
        <v>3258</v>
      </c>
      <c r="D61" s="140" t="s">
        <v>3189</v>
      </c>
      <c r="E61" s="140" t="s">
        <v>3187</v>
      </c>
      <c r="F61" s="140" t="s">
        <v>3181</v>
      </c>
      <c r="G61" s="140" t="s">
        <v>3184</v>
      </c>
      <c r="H61" s="140" t="s">
        <v>3190</v>
      </c>
      <c r="I61" s="140" t="s">
        <v>3186</v>
      </c>
      <c r="J61" s="140" t="s">
        <v>3192</v>
      </c>
      <c r="K61" s="141" t="s">
        <v>3191</v>
      </c>
    </row>
    <row r="62" customFormat="false" ht="15" hidden="false" customHeight="false" outlineLevel="0" collapsed="false">
      <c r="B62" s="139" t="n">
        <v>57</v>
      </c>
      <c r="C62" s="140" t="s">
        <v>3259</v>
      </c>
      <c r="D62" s="140" t="s">
        <v>3188</v>
      </c>
      <c r="E62" s="140" t="s">
        <v>3187</v>
      </c>
      <c r="F62" s="140" t="s">
        <v>3181</v>
      </c>
      <c r="G62" s="140" t="s">
        <v>3184</v>
      </c>
      <c r="H62" s="140" t="s">
        <v>3190</v>
      </c>
      <c r="I62" s="140" t="s">
        <v>3186</v>
      </c>
      <c r="J62" s="140" t="s">
        <v>3192</v>
      </c>
      <c r="K62" s="141" t="s">
        <v>3191</v>
      </c>
    </row>
    <row r="63" customFormat="false" ht="15" hidden="false" customHeight="false" outlineLevel="0" collapsed="false">
      <c r="B63" s="139" t="n">
        <v>58</v>
      </c>
      <c r="C63" s="140" t="s">
        <v>3260</v>
      </c>
      <c r="D63" s="140" t="s">
        <v>3188</v>
      </c>
      <c r="E63" s="140" t="s">
        <v>3187</v>
      </c>
      <c r="F63" s="140" t="s">
        <v>3181</v>
      </c>
      <c r="G63" s="140" t="s">
        <v>3184</v>
      </c>
      <c r="H63" s="140" t="s">
        <v>3189</v>
      </c>
      <c r="I63" s="140" t="s">
        <v>3186</v>
      </c>
      <c r="J63" s="140" t="s">
        <v>3192</v>
      </c>
      <c r="K63" s="141" t="s">
        <v>3191</v>
      </c>
    </row>
    <row r="64" customFormat="false" ht="15" hidden="false" customHeight="false" outlineLevel="0" collapsed="false">
      <c r="B64" s="139" t="n">
        <v>59</v>
      </c>
      <c r="C64" s="140" t="s">
        <v>3261</v>
      </c>
      <c r="D64" s="140" t="s">
        <v>3188</v>
      </c>
      <c r="E64" s="140" t="s">
        <v>3187</v>
      </c>
      <c r="F64" s="140" t="s">
        <v>3181</v>
      </c>
      <c r="G64" s="140" t="s">
        <v>3184</v>
      </c>
      <c r="H64" s="140" t="s">
        <v>3190</v>
      </c>
      <c r="I64" s="140" t="s">
        <v>3186</v>
      </c>
      <c r="J64" s="140" t="s">
        <v>3192</v>
      </c>
      <c r="K64" s="141" t="s">
        <v>3189</v>
      </c>
    </row>
    <row r="65" customFormat="false" ht="15" hidden="false" customHeight="false" outlineLevel="0" collapsed="false">
      <c r="B65" s="139" t="n">
        <v>60</v>
      </c>
      <c r="C65" s="140" t="s">
        <v>3262</v>
      </c>
      <c r="D65" s="140" t="s">
        <v>3188</v>
      </c>
      <c r="E65" s="140" t="s">
        <v>3187</v>
      </c>
      <c r="F65" s="140" t="s">
        <v>3181</v>
      </c>
      <c r="G65" s="140" t="s">
        <v>3184</v>
      </c>
      <c r="H65" s="140" t="s">
        <v>3190</v>
      </c>
      <c r="I65" s="140" t="s">
        <v>3186</v>
      </c>
      <c r="J65" s="140" t="s">
        <v>3189</v>
      </c>
      <c r="K65" s="141" t="s">
        <v>3191</v>
      </c>
    </row>
    <row r="66" customFormat="false" ht="15" hidden="false" customHeight="false" outlineLevel="0" collapsed="false">
      <c r="B66" s="139" t="n">
        <v>61</v>
      </c>
      <c r="C66" s="140" t="s">
        <v>3263</v>
      </c>
      <c r="D66" s="140" t="s">
        <v>3185</v>
      </c>
      <c r="E66" s="140" t="s">
        <v>3190</v>
      </c>
      <c r="F66" s="140" t="s">
        <v>3181</v>
      </c>
      <c r="G66" s="140" t="s">
        <v>3184</v>
      </c>
      <c r="H66" s="140" t="s">
        <v>3189</v>
      </c>
      <c r="I66" s="140" t="s">
        <v>3188</v>
      </c>
      <c r="J66" s="140" t="s">
        <v>3192</v>
      </c>
      <c r="K66" s="141" t="s">
        <v>3191</v>
      </c>
    </row>
    <row r="67" customFormat="false" ht="15" hidden="false" customHeight="false" outlineLevel="0" collapsed="false">
      <c r="B67" s="139" t="n">
        <v>62</v>
      </c>
      <c r="C67" s="140" t="s">
        <v>3264</v>
      </c>
      <c r="D67" s="140" t="s">
        <v>3185</v>
      </c>
      <c r="E67" s="140" t="s">
        <v>3190</v>
      </c>
      <c r="F67" s="140" t="s">
        <v>3181</v>
      </c>
      <c r="G67" s="140" t="s">
        <v>3184</v>
      </c>
      <c r="H67" s="140" t="s">
        <v>3189</v>
      </c>
      <c r="I67" s="140" t="s">
        <v>3187</v>
      </c>
      <c r="J67" s="140" t="s">
        <v>3192</v>
      </c>
      <c r="K67" s="141" t="s">
        <v>3191</v>
      </c>
    </row>
    <row r="68" customFormat="false" ht="15" hidden="false" customHeight="false" outlineLevel="0" collapsed="false">
      <c r="B68" s="139" t="n">
        <v>63</v>
      </c>
      <c r="C68" s="140" t="s">
        <v>3265</v>
      </c>
      <c r="D68" s="140" t="s">
        <v>3185</v>
      </c>
      <c r="E68" s="140" t="s">
        <v>3190</v>
      </c>
      <c r="F68" s="140" t="s">
        <v>3181</v>
      </c>
      <c r="G68" s="140" t="s">
        <v>3184</v>
      </c>
      <c r="H68" s="140" t="s">
        <v>3188</v>
      </c>
      <c r="I68" s="140" t="s">
        <v>3187</v>
      </c>
      <c r="J68" s="140" t="s">
        <v>3192</v>
      </c>
      <c r="K68" s="141" t="s">
        <v>3191</v>
      </c>
    </row>
    <row r="69" customFormat="false" ht="15" hidden="false" customHeight="false" outlineLevel="0" collapsed="false">
      <c r="B69" s="139" t="n">
        <v>64</v>
      </c>
      <c r="C69" s="140" t="s">
        <v>3266</v>
      </c>
      <c r="D69" s="140" t="s">
        <v>3185</v>
      </c>
      <c r="E69" s="140" t="s">
        <v>3187</v>
      </c>
      <c r="F69" s="140" t="s">
        <v>3181</v>
      </c>
      <c r="G69" s="140" t="s">
        <v>3184</v>
      </c>
      <c r="H69" s="140" t="s">
        <v>3189</v>
      </c>
      <c r="I69" s="140" t="s">
        <v>3188</v>
      </c>
      <c r="J69" s="140" t="s">
        <v>3192</v>
      </c>
      <c r="K69" s="141" t="s">
        <v>3191</v>
      </c>
    </row>
    <row r="70" customFormat="false" ht="15" hidden="false" customHeight="false" outlineLevel="0" collapsed="false">
      <c r="B70" s="139" t="n">
        <v>65</v>
      </c>
      <c r="C70" s="140" t="s">
        <v>3267</v>
      </c>
      <c r="D70" s="140" t="s">
        <v>3185</v>
      </c>
      <c r="E70" s="140" t="s">
        <v>3190</v>
      </c>
      <c r="F70" s="140" t="s">
        <v>3181</v>
      </c>
      <c r="G70" s="140" t="s">
        <v>3184</v>
      </c>
      <c r="H70" s="140" t="s">
        <v>3188</v>
      </c>
      <c r="I70" s="140" t="s">
        <v>3187</v>
      </c>
      <c r="J70" s="140" t="s">
        <v>3192</v>
      </c>
      <c r="K70" s="141" t="s">
        <v>3189</v>
      </c>
    </row>
    <row r="71" customFormat="false" ht="15" hidden="false" customHeight="false" outlineLevel="0" collapsed="false">
      <c r="B71" s="139" t="n">
        <v>66</v>
      </c>
      <c r="C71" s="140" t="s">
        <v>3268</v>
      </c>
      <c r="D71" s="140" t="s">
        <v>3185</v>
      </c>
      <c r="E71" s="140" t="s">
        <v>3190</v>
      </c>
      <c r="F71" s="140" t="s">
        <v>3181</v>
      </c>
      <c r="G71" s="140" t="s">
        <v>3184</v>
      </c>
      <c r="H71" s="140" t="s">
        <v>3188</v>
      </c>
      <c r="I71" s="140" t="s">
        <v>3187</v>
      </c>
      <c r="J71" s="140" t="s">
        <v>3189</v>
      </c>
      <c r="K71" s="141" t="s">
        <v>3191</v>
      </c>
    </row>
    <row r="72" customFormat="false" ht="15" hidden="false" customHeight="false" outlineLevel="0" collapsed="false">
      <c r="B72" s="139" t="n">
        <v>67</v>
      </c>
      <c r="C72" s="140" t="s">
        <v>3269</v>
      </c>
      <c r="D72" s="140" t="s">
        <v>3185</v>
      </c>
      <c r="E72" s="140" t="s">
        <v>3190</v>
      </c>
      <c r="F72" s="140" t="s">
        <v>3181</v>
      </c>
      <c r="G72" s="140" t="s">
        <v>3184</v>
      </c>
      <c r="H72" s="140" t="s">
        <v>3189</v>
      </c>
      <c r="I72" s="140" t="s">
        <v>3186</v>
      </c>
      <c r="J72" s="140" t="s">
        <v>3192</v>
      </c>
      <c r="K72" s="141" t="s">
        <v>3191</v>
      </c>
    </row>
    <row r="73" customFormat="false" ht="15" hidden="false" customHeight="false" outlineLevel="0" collapsed="false">
      <c r="B73" s="139" t="n">
        <v>68</v>
      </c>
      <c r="C73" s="140" t="s">
        <v>3270</v>
      </c>
      <c r="D73" s="140" t="s">
        <v>3185</v>
      </c>
      <c r="E73" s="140" t="s">
        <v>3190</v>
      </c>
      <c r="F73" s="140" t="s">
        <v>3181</v>
      </c>
      <c r="G73" s="140" t="s">
        <v>3184</v>
      </c>
      <c r="H73" s="140" t="s">
        <v>3188</v>
      </c>
      <c r="I73" s="140" t="s">
        <v>3186</v>
      </c>
      <c r="J73" s="140" t="s">
        <v>3192</v>
      </c>
      <c r="K73" s="141" t="s">
        <v>3191</v>
      </c>
    </row>
    <row r="74" customFormat="false" ht="15" hidden="false" customHeight="false" outlineLevel="0" collapsed="false">
      <c r="B74" s="139" t="n">
        <v>69</v>
      </c>
      <c r="C74" s="140" t="s">
        <v>3271</v>
      </c>
      <c r="D74" s="140" t="s">
        <v>3185</v>
      </c>
      <c r="E74" s="140" t="s">
        <v>3189</v>
      </c>
      <c r="F74" s="140" t="s">
        <v>3181</v>
      </c>
      <c r="G74" s="140" t="s">
        <v>3184</v>
      </c>
      <c r="H74" s="140" t="s">
        <v>3188</v>
      </c>
      <c r="I74" s="140" t="s">
        <v>3186</v>
      </c>
      <c r="J74" s="140" t="s">
        <v>3192</v>
      </c>
      <c r="K74" s="141" t="s">
        <v>3191</v>
      </c>
    </row>
    <row r="75" customFormat="false" ht="15" hidden="false" customHeight="false" outlineLevel="0" collapsed="false">
      <c r="B75" s="139" t="n">
        <v>70</v>
      </c>
      <c r="C75" s="140" t="s">
        <v>3272</v>
      </c>
      <c r="D75" s="140" t="s">
        <v>3185</v>
      </c>
      <c r="E75" s="140" t="s">
        <v>3190</v>
      </c>
      <c r="F75" s="140" t="s">
        <v>3181</v>
      </c>
      <c r="G75" s="140" t="s">
        <v>3184</v>
      </c>
      <c r="H75" s="140" t="s">
        <v>3188</v>
      </c>
      <c r="I75" s="140" t="s">
        <v>3186</v>
      </c>
      <c r="J75" s="140" t="s">
        <v>3192</v>
      </c>
      <c r="K75" s="141" t="s">
        <v>3189</v>
      </c>
    </row>
    <row r="76" customFormat="false" ht="15" hidden="false" customHeight="false" outlineLevel="0" collapsed="false">
      <c r="B76" s="139" t="n">
        <v>71</v>
      </c>
      <c r="C76" s="140" t="s">
        <v>3273</v>
      </c>
      <c r="D76" s="140" t="s">
        <v>3185</v>
      </c>
      <c r="E76" s="140" t="s">
        <v>3190</v>
      </c>
      <c r="F76" s="140" t="s">
        <v>3181</v>
      </c>
      <c r="G76" s="140" t="s">
        <v>3184</v>
      </c>
      <c r="H76" s="140" t="s">
        <v>3188</v>
      </c>
      <c r="I76" s="140" t="s">
        <v>3186</v>
      </c>
      <c r="J76" s="140" t="s">
        <v>3189</v>
      </c>
      <c r="K76" s="141" t="s">
        <v>3191</v>
      </c>
    </row>
    <row r="77" customFormat="false" ht="15" hidden="false" customHeight="false" outlineLevel="0" collapsed="false">
      <c r="B77" s="139" t="n">
        <v>72</v>
      </c>
      <c r="C77" s="140" t="s">
        <v>3274</v>
      </c>
      <c r="D77" s="140" t="s">
        <v>3185</v>
      </c>
      <c r="E77" s="140" t="s">
        <v>3187</v>
      </c>
      <c r="F77" s="140" t="s">
        <v>3181</v>
      </c>
      <c r="G77" s="140" t="s">
        <v>3184</v>
      </c>
      <c r="H77" s="140" t="s">
        <v>3190</v>
      </c>
      <c r="I77" s="140" t="s">
        <v>3186</v>
      </c>
      <c r="J77" s="140" t="s">
        <v>3192</v>
      </c>
      <c r="K77" s="141" t="s">
        <v>3191</v>
      </c>
    </row>
    <row r="78" customFormat="false" ht="15" hidden="false" customHeight="false" outlineLevel="0" collapsed="false">
      <c r="B78" s="139" t="n">
        <v>73</v>
      </c>
      <c r="C78" s="140" t="s">
        <v>3275</v>
      </c>
      <c r="D78" s="140" t="s">
        <v>3185</v>
      </c>
      <c r="E78" s="140" t="s">
        <v>3187</v>
      </c>
      <c r="F78" s="140" t="s">
        <v>3181</v>
      </c>
      <c r="G78" s="140" t="s">
        <v>3184</v>
      </c>
      <c r="H78" s="140" t="s">
        <v>3189</v>
      </c>
      <c r="I78" s="140" t="s">
        <v>3186</v>
      </c>
      <c r="J78" s="140" t="s">
        <v>3192</v>
      </c>
      <c r="K78" s="141" t="s">
        <v>3191</v>
      </c>
    </row>
    <row r="79" customFormat="false" ht="15" hidden="false" customHeight="false" outlineLevel="0" collapsed="false">
      <c r="B79" s="139" t="n">
        <v>74</v>
      </c>
      <c r="C79" s="140" t="s">
        <v>3276</v>
      </c>
      <c r="D79" s="140" t="s">
        <v>3185</v>
      </c>
      <c r="E79" s="140" t="s">
        <v>3187</v>
      </c>
      <c r="F79" s="140" t="s">
        <v>3181</v>
      </c>
      <c r="G79" s="140" t="s">
        <v>3184</v>
      </c>
      <c r="H79" s="140" t="s">
        <v>3190</v>
      </c>
      <c r="I79" s="140" t="s">
        <v>3186</v>
      </c>
      <c r="J79" s="140" t="s">
        <v>3192</v>
      </c>
      <c r="K79" s="141" t="s">
        <v>3189</v>
      </c>
    </row>
    <row r="80" customFormat="false" ht="15" hidden="false" customHeight="false" outlineLevel="0" collapsed="false">
      <c r="B80" s="139" t="n">
        <v>75</v>
      </c>
      <c r="C80" s="140" t="s">
        <v>3277</v>
      </c>
      <c r="D80" s="140" t="s">
        <v>3185</v>
      </c>
      <c r="E80" s="140" t="s">
        <v>3187</v>
      </c>
      <c r="F80" s="140" t="s">
        <v>3181</v>
      </c>
      <c r="G80" s="140" t="s">
        <v>3184</v>
      </c>
      <c r="H80" s="140" t="s">
        <v>3190</v>
      </c>
      <c r="I80" s="140" t="s">
        <v>3186</v>
      </c>
      <c r="J80" s="140" t="s">
        <v>3189</v>
      </c>
      <c r="K80" s="141" t="s">
        <v>3191</v>
      </c>
    </row>
    <row r="81" customFormat="false" ht="15" hidden="false" customHeight="false" outlineLevel="0" collapsed="false">
      <c r="B81" s="139" t="n">
        <v>76</v>
      </c>
      <c r="C81" s="140" t="s">
        <v>3278</v>
      </c>
      <c r="D81" s="140" t="s">
        <v>3185</v>
      </c>
      <c r="E81" s="140" t="s">
        <v>3187</v>
      </c>
      <c r="F81" s="140" t="s">
        <v>3181</v>
      </c>
      <c r="G81" s="140" t="s">
        <v>3184</v>
      </c>
      <c r="H81" s="140" t="s">
        <v>3188</v>
      </c>
      <c r="I81" s="140" t="s">
        <v>3186</v>
      </c>
      <c r="J81" s="140" t="s">
        <v>3192</v>
      </c>
      <c r="K81" s="141" t="s">
        <v>3191</v>
      </c>
    </row>
    <row r="82" customFormat="false" ht="15" hidden="false" customHeight="false" outlineLevel="0" collapsed="false">
      <c r="B82" s="139" t="n">
        <v>77</v>
      </c>
      <c r="C82" s="140" t="s">
        <v>3279</v>
      </c>
      <c r="D82" s="140" t="s">
        <v>3188</v>
      </c>
      <c r="E82" s="140" t="s">
        <v>3187</v>
      </c>
      <c r="F82" s="140" t="s">
        <v>3181</v>
      </c>
      <c r="G82" s="140" t="s">
        <v>3184</v>
      </c>
      <c r="H82" s="140" t="s">
        <v>3190</v>
      </c>
      <c r="I82" s="140" t="s">
        <v>3186</v>
      </c>
      <c r="J82" s="140" t="s">
        <v>3192</v>
      </c>
      <c r="K82" s="141" t="s">
        <v>3185</v>
      </c>
    </row>
    <row r="83" customFormat="false" ht="15" hidden="false" customHeight="false" outlineLevel="0" collapsed="false">
      <c r="B83" s="139" t="n">
        <v>78</v>
      </c>
      <c r="C83" s="140" t="s">
        <v>3280</v>
      </c>
      <c r="D83" s="140" t="s">
        <v>3188</v>
      </c>
      <c r="E83" s="140" t="s">
        <v>3187</v>
      </c>
      <c r="F83" s="140" t="s">
        <v>3181</v>
      </c>
      <c r="G83" s="140" t="s">
        <v>3184</v>
      </c>
      <c r="H83" s="140" t="s">
        <v>3190</v>
      </c>
      <c r="I83" s="140" t="s">
        <v>3186</v>
      </c>
      <c r="J83" s="140" t="s">
        <v>3185</v>
      </c>
      <c r="K83" s="141" t="s">
        <v>3191</v>
      </c>
    </row>
    <row r="84" customFormat="false" ht="15" hidden="false" customHeight="false" outlineLevel="0" collapsed="false">
      <c r="B84" s="139" t="n">
        <v>79</v>
      </c>
      <c r="C84" s="140" t="s">
        <v>3281</v>
      </c>
      <c r="D84" s="140" t="s">
        <v>3185</v>
      </c>
      <c r="E84" s="140" t="s">
        <v>3187</v>
      </c>
      <c r="F84" s="140" t="s">
        <v>3181</v>
      </c>
      <c r="G84" s="140" t="s">
        <v>3184</v>
      </c>
      <c r="H84" s="140" t="s">
        <v>3188</v>
      </c>
      <c r="I84" s="140" t="s">
        <v>3186</v>
      </c>
      <c r="J84" s="140" t="s">
        <v>3192</v>
      </c>
      <c r="K84" s="141" t="s">
        <v>3189</v>
      </c>
    </row>
    <row r="85" customFormat="false" ht="15" hidden="false" customHeight="false" outlineLevel="0" collapsed="false">
      <c r="B85" s="139" t="n">
        <v>80</v>
      </c>
      <c r="C85" s="140" t="s">
        <v>3282</v>
      </c>
      <c r="D85" s="140" t="s">
        <v>3185</v>
      </c>
      <c r="E85" s="140" t="s">
        <v>3187</v>
      </c>
      <c r="F85" s="140" t="s">
        <v>3181</v>
      </c>
      <c r="G85" s="140" t="s">
        <v>3184</v>
      </c>
      <c r="H85" s="140" t="s">
        <v>3188</v>
      </c>
      <c r="I85" s="140" t="s">
        <v>3186</v>
      </c>
      <c r="J85" s="140" t="s">
        <v>3189</v>
      </c>
      <c r="K85" s="141" t="s">
        <v>3191</v>
      </c>
    </row>
    <row r="86" customFormat="false" ht="15" hidden="false" customHeight="false" outlineLevel="0" collapsed="false">
      <c r="B86" s="139" t="n">
        <v>81</v>
      </c>
      <c r="C86" s="140" t="s">
        <v>3283</v>
      </c>
      <c r="D86" s="140" t="s">
        <v>3188</v>
      </c>
      <c r="E86" s="140" t="s">
        <v>3187</v>
      </c>
      <c r="F86" s="140" t="s">
        <v>3181</v>
      </c>
      <c r="G86" s="140" t="s">
        <v>3184</v>
      </c>
      <c r="H86" s="140" t="s">
        <v>3190</v>
      </c>
      <c r="I86" s="140" t="s">
        <v>3186</v>
      </c>
      <c r="J86" s="140" t="s">
        <v>3185</v>
      </c>
      <c r="K86" s="141" t="s">
        <v>3189</v>
      </c>
    </row>
    <row r="87" customFormat="false" ht="15" hidden="false" customHeight="false" outlineLevel="0" collapsed="false">
      <c r="B87" s="139" t="n">
        <v>82</v>
      </c>
      <c r="C87" s="140" t="s">
        <v>3284</v>
      </c>
      <c r="D87" s="140" t="s">
        <v>3188</v>
      </c>
      <c r="E87" s="140" t="s">
        <v>3190</v>
      </c>
      <c r="F87" s="140" t="s">
        <v>3181</v>
      </c>
      <c r="G87" s="140" t="s">
        <v>3182</v>
      </c>
      <c r="H87" s="140" t="s">
        <v>3189</v>
      </c>
      <c r="I87" s="140" t="s">
        <v>3187</v>
      </c>
      <c r="J87" s="140" t="s">
        <v>3192</v>
      </c>
      <c r="K87" s="141" t="s">
        <v>3191</v>
      </c>
    </row>
    <row r="88" customFormat="false" ht="15" hidden="false" customHeight="false" outlineLevel="0" collapsed="false">
      <c r="B88" s="139" t="n">
        <v>83</v>
      </c>
      <c r="C88" s="140" t="s">
        <v>3285</v>
      </c>
      <c r="D88" s="140" t="s">
        <v>3188</v>
      </c>
      <c r="E88" s="140" t="s">
        <v>3190</v>
      </c>
      <c r="F88" s="140" t="s">
        <v>3181</v>
      </c>
      <c r="G88" s="140" t="s">
        <v>3182</v>
      </c>
      <c r="H88" s="140" t="s">
        <v>3189</v>
      </c>
      <c r="I88" s="140" t="s">
        <v>3186</v>
      </c>
      <c r="J88" s="140" t="s">
        <v>3192</v>
      </c>
      <c r="K88" s="141" t="s">
        <v>3191</v>
      </c>
    </row>
    <row r="89" customFormat="false" ht="15" hidden="false" customHeight="false" outlineLevel="0" collapsed="false">
      <c r="B89" s="139" t="n">
        <v>84</v>
      </c>
      <c r="C89" s="140" t="s">
        <v>3286</v>
      </c>
      <c r="D89" s="140" t="s">
        <v>3189</v>
      </c>
      <c r="E89" s="140" t="s">
        <v>3187</v>
      </c>
      <c r="F89" s="140" t="s">
        <v>3181</v>
      </c>
      <c r="G89" s="140" t="s">
        <v>3182</v>
      </c>
      <c r="H89" s="140" t="s">
        <v>3190</v>
      </c>
      <c r="I89" s="140" t="s">
        <v>3186</v>
      </c>
      <c r="J89" s="140" t="s">
        <v>3192</v>
      </c>
      <c r="K89" s="141" t="s">
        <v>3191</v>
      </c>
    </row>
    <row r="90" customFormat="false" ht="15" hidden="false" customHeight="false" outlineLevel="0" collapsed="false">
      <c r="B90" s="139" t="n">
        <v>85</v>
      </c>
      <c r="C90" s="140" t="s">
        <v>3287</v>
      </c>
      <c r="D90" s="140" t="s">
        <v>3188</v>
      </c>
      <c r="E90" s="140" t="s">
        <v>3187</v>
      </c>
      <c r="F90" s="140" t="s">
        <v>3181</v>
      </c>
      <c r="G90" s="140" t="s">
        <v>3182</v>
      </c>
      <c r="H90" s="140" t="s">
        <v>3190</v>
      </c>
      <c r="I90" s="140" t="s">
        <v>3186</v>
      </c>
      <c r="J90" s="140" t="s">
        <v>3192</v>
      </c>
      <c r="K90" s="141" t="s">
        <v>3191</v>
      </c>
    </row>
    <row r="91" customFormat="false" ht="15" hidden="false" customHeight="false" outlineLevel="0" collapsed="false">
      <c r="B91" s="139" t="n">
        <v>86</v>
      </c>
      <c r="C91" s="140" t="s">
        <v>3288</v>
      </c>
      <c r="D91" s="140" t="s">
        <v>3188</v>
      </c>
      <c r="E91" s="140" t="s">
        <v>3187</v>
      </c>
      <c r="F91" s="140" t="s">
        <v>3181</v>
      </c>
      <c r="G91" s="140" t="s">
        <v>3182</v>
      </c>
      <c r="H91" s="140" t="s">
        <v>3189</v>
      </c>
      <c r="I91" s="140" t="s">
        <v>3186</v>
      </c>
      <c r="J91" s="140" t="s">
        <v>3192</v>
      </c>
      <c r="K91" s="141" t="s">
        <v>3191</v>
      </c>
    </row>
    <row r="92" customFormat="false" ht="15" hidden="false" customHeight="false" outlineLevel="0" collapsed="false">
      <c r="B92" s="139" t="n">
        <v>87</v>
      </c>
      <c r="C92" s="140" t="s">
        <v>3289</v>
      </c>
      <c r="D92" s="140" t="s">
        <v>3188</v>
      </c>
      <c r="E92" s="140" t="s">
        <v>3187</v>
      </c>
      <c r="F92" s="140" t="s">
        <v>3181</v>
      </c>
      <c r="G92" s="140" t="s">
        <v>3182</v>
      </c>
      <c r="H92" s="140" t="s">
        <v>3190</v>
      </c>
      <c r="I92" s="140" t="s">
        <v>3186</v>
      </c>
      <c r="J92" s="140" t="s">
        <v>3192</v>
      </c>
      <c r="K92" s="141" t="s">
        <v>3189</v>
      </c>
    </row>
    <row r="93" customFormat="false" ht="15" hidden="false" customHeight="false" outlineLevel="0" collapsed="false">
      <c r="B93" s="139" t="n">
        <v>88</v>
      </c>
      <c r="C93" s="140" t="s">
        <v>3290</v>
      </c>
      <c r="D93" s="140" t="s">
        <v>3188</v>
      </c>
      <c r="E93" s="140" t="s">
        <v>3187</v>
      </c>
      <c r="F93" s="140" t="s">
        <v>3181</v>
      </c>
      <c r="G93" s="140" t="s">
        <v>3182</v>
      </c>
      <c r="H93" s="140" t="s">
        <v>3190</v>
      </c>
      <c r="I93" s="140" t="s">
        <v>3186</v>
      </c>
      <c r="J93" s="140" t="s">
        <v>3189</v>
      </c>
      <c r="K93" s="141" t="s">
        <v>3191</v>
      </c>
    </row>
    <row r="94" customFormat="false" ht="15" hidden="false" customHeight="false" outlineLevel="0" collapsed="false">
      <c r="B94" s="139" t="n">
        <v>89</v>
      </c>
      <c r="C94" s="140" t="s">
        <v>3291</v>
      </c>
      <c r="D94" s="140" t="s">
        <v>3185</v>
      </c>
      <c r="E94" s="140" t="s">
        <v>3190</v>
      </c>
      <c r="F94" s="140" t="s">
        <v>3181</v>
      </c>
      <c r="G94" s="140" t="s">
        <v>3182</v>
      </c>
      <c r="H94" s="140" t="s">
        <v>3189</v>
      </c>
      <c r="I94" s="140" t="s">
        <v>3188</v>
      </c>
      <c r="J94" s="140" t="s">
        <v>3192</v>
      </c>
      <c r="K94" s="141" t="s">
        <v>3191</v>
      </c>
    </row>
    <row r="95" customFormat="false" ht="15" hidden="false" customHeight="false" outlineLevel="0" collapsed="false">
      <c r="B95" s="139" t="n">
        <v>90</v>
      </c>
      <c r="C95" s="140" t="s">
        <v>3292</v>
      </c>
      <c r="D95" s="140" t="s">
        <v>3185</v>
      </c>
      <c r="E95" s="140" t="s">
        <v>3190</v>
      </c>
      <c r="F95" s="140" t="s">
        <v>3181</v>
      </c>
      <c r="G95" s="140" t="s">
        <v>3182</v>
      </c>
      <c r="H95" s="140" t="s">
        <v>3189</v>
      </c>
      <c r="I95" s="140" t="s">
        <v>3187</v>
      </c>
      <c r="J95" s="140" t="s">
        <v>3192</v>
      </c>
      <c r="K95" s="141" t="s">
        <v>3191</v>
      </c>
    </row>
    <row r="96" customFormat="false" ht="15" hidden="false" customHeight="false" outlineLevel="0" collapsed="false">
      <c r="B96" s="139" t="n">
        <v>91</v>
      </c>
      <c r="C96" s="140" t="s">
        <v>3293</v>
      </c>
      <c r="D96" s="140" t="s">
        <v>3185</v>
      </c>
      <c r="E96" s="140" t="s">
        <v>3190</v>
      </c>
      <c r="F96" s="140" t="s">
        <v>3181</v>
      </c>
      <c r="G96" s="140" t="s">
        <v>3182</v>
      </c>
      <c r="H96" s="140" t="s">
        <v>3188</v>
      </c>
      <c r="I96" s="140" t="s">
        <v>3187</v>
      </c>
      <c r="J96" s="140" t="s">
        <v>3192</v>
      </c>
      <c r="K96" s="141" t="s">
        <v>3191</v>
      </c>
    </row>
    <row r="97" customFormat="false" ht="15" hidden="false" customHeight="false" outlineLevel="0" collapsed="false">
      <c r="B97" s="139" t="n">
        <v>92</v>
      </c>
      <c r="C97" s="140" t="s">
        <v>3294</v>
      </c>
      <c r="D97" s="140" t="s">
        <v>3185</v>
      </c>
      <c r="E97" s="140" t="s">
        <v>3187</v>
      </c>
      <c r="F97" s="140" t="s">
        <v>3181</v>
      </c>
      <c r="G97" s="140" t="s">
        <v>3182</v>
      </c>
      <c r="H97" s="140" t="s">
        <v>3189</v>
      </c>
      <c r="I97" s="140" t="s">
        <v>3188</v>
      </c>
      <c r="J97" s="140" t="s">
        <v>3192</v>
      </c>
      <c r="K97" s="141" t="s">
        <v>3191</v>
      </c>
    </row>
    <row r="98" customFormat="false" ht="15" hidden="false" customHeight="false" outlineLevel="0" collapsed="false">
      <c r="B98" s="139" t="n">
        <v>93</v>
      </c>
      <c r="C98" s="140" t="s">
        <v>3295</v>
      </c>
      <c r="D98" s="140" t="s">
        <v>3185</v>
      </c>
      <c r="E98" s="140" t="s">
        <v>3190</v>
      </c>
      <c r="F98" s="140" t="s">
        <v>3181</v>
      </c>
      <c r="G98" s="140" t="s">
        <v>3182</v>
      </c>
      <c r="H98" s="140" t="s">
        <v>3188</v>
      </c>
      <c r="I98" s="140" t="s">
        <v>3187</v>
      </c>
      <c r="J98" s="140" t="s">
        <v>3192</v>
      </c>
      <c r="K98" s="141" t="s">
        <v>3189</v>
      </c>
    </row>
    <row r="99" customFormat="false" ht="15" hidden="false" customHeight="false" outlineLevel="0" collapsed="false">
      <c r="B99" s="139" t="n">
        <v>94</v>
      </c>
      <c r="C99" s="140" t="s">
        <v>3296</v>
      </c>
      <c r="D99" s="140" t="s">
        <v>3185</v>
      </c>
      <c r="E99" s="140" t="s">
        <v>3190</v>
      </c>
      <c r="F99" s="140" t="s">
        <v>3181</v>
      </c>
      <c r="G99" s="140" t="s">
        <v>3182</v>
      </c>
      <c r="H99" s="140" t="s">
        <v>3188</v>
      </c>
      <c r="I99" s="140" t="s">
        <v>3187</v>
      </c>
      <c r="J99" s="140" t="s">
        <v>3189</v>
      </c>
      <c r="K99" s="141" t="s">
        <v>3191</v>
      </c>
    </row>
    <row r="100" customFormat="false" ht="15" hidden="false" customHeight="false" outlineLevel="0" collapsed="false">
      <c r="B100" s="139" t="n">
        <v>95</v>
      </c>
      <c r="C100" s="140" t="s">
        <v>3297</v>
      </c>
      <c r="D100" s="140" t="s">
        <v>3185</v>
      </c>
      <c r="E100" s="140" t="s">
        <v>3190</v>
      </c>
      <c r="F100" s="140" t="s">
        <v>3181</v>
      </c>
      <c r="G100" s="140" t="s">
        <v>3182</v>
      </c>
      <c r="H100" s="140" t="s">
        <v>3189</v>
      </c>
      <c r="I100" s="140" t="s">
        <v>3186</v>
      </c>
      <c r="J100" s="140" t="s">
        <v>3192</v>
      </c>
      <c r="K100" s="141" t="s">
        <v>3191</v>
      </c>
    </row>
    <row r="101" customFormat="false" ht="15" hidden="false" customHeight="false" outlineLevel="0" collapsed="false">
      <c r="B101" s="139" t="n">
        <v>96</v>
      </c>
      <c r="C101" s="140" t="s">
        <v>3298</v>
      </c>
      <c r="D101" s="140" t="s">
        <v>3185</v>
      </c>
      <c r="E101" s="140" t="s">
        <v>3190</v>
      </c>
      <c r="F101" s="140" t="s">
        <v>3181</v>
      </c>
      <c r="G101" s="140" t="s">
        <v>3182</v>
      </c>
      <c r="H101" s="140" t="s">
        <v>3188</v>
      </c>
      <c r="I101" s="140" t="s">
        <v>3186</v>
      </c>
      <c r="J101" s="140" t="s">
        <v>3192</v>
      </c>
      <c r="K101" s="141" t="s">
        <v>3191</v>
      </c>
    </row>
    <row r="102" customFormat="false" ht="15" hidden="false" customHeight="false" outlineLevel="0" collapsed="false">
      <c r="B102" s="139" t="n">
        <v>97</v>
      </c>
      <c r="C102" s="140" t="s">
        <v>3299</v>
      </c>
      <c r="D102" s="140" t="s">
        <v>3185</v>
      </c>
      <c r="E102" s="140" t="s">
        <v>3189</v>
      </c>
      <c r="F102" s="140" t="s">
        <v>3181</v>
      </c>
      <c r="G102" s="140" t="s">
        <v>3182</v>
      </c>
      <c r="H102" s="140" t="s">
        <v>3188</v>
      </c>
      <c r="I102" s="140" t="s">
        <v>3186</v>
      </c>
      <c r="J102" s="140" t="s">
        <v>3192</v>
      </c>
      <c r="K102" s="141" t="s">
        <v>3191</v>
      </c>
    </row>
    <row r="103" customFormat="false" ht="15" hidden="false" customHeight="false" outlineLevel="0" collapsed="false">
      <c r="B103" s="139" t="n">
        <v>98</v>
      </c>
      <c r="C103" s="140" t="s">
        <v>3300</v>
      </c>
      <c r="D103" s="140" t="s">
        <v>3185</v>
      </c>
      <c r="E103" s="140" t="s">
        <v>3190</v>
      </c>
      <c r="F103" s="140" t="s">
        <v>3181</v>
      </c>
      <c r="G103" s="140" t="s">
        <v>3182</v>
      </c>
      <c r="H103" s="140" t="s">
        <v>3188</v>
      </c>
      <c r="I103" s="140" t="s">
        <v>3186</v>
      </c>
      <c r="J103" s="140" t="s">
        <v>3192</v>
      </c>
      <c r="K103" s="141" t="s">
        <v>3189</v>
      </c>
    </row>
    <row r="104" customFormat="false" ht="15" hidden="false" customHeight="false" outlineLevel="0" collapsed="false">
      <c r="B104" s="139" t="n">
        <v>99</v>
      </c>
      <c r="C104" s="140" t="s">
        <v>3301</v>
      </c>
      <c r="D104" s="140" t="s">
        <v>3185</v>
      </c>
      <c r="E104" s="140" t="s">
        <v>3190</v>
      </c>
      <c r="F104" s="140" t="s">
        <v>3181</v>
      </c>
      <c r="G104" s="140" t="s">
        <v>3182</v>
      </c>
      <c r="H104" s="140" t="s">
        <v>3188</v>
      </c>
      <c r="I104" s="140" t="s">
        <v>3186</v>
      </c>
      <c r="J104" s="140" t="s">
        <v>3189</v>
      </c>
      <c r="K104" s="141" t="s">
        <v>3191</v>
      </c>
    </row>
    <row r="105" customFormat="false" ht="15" hidden="false" customHeight="false" outlineLevel="0" collapsed="false">
      <c r="B105" s="139" t="n">
        <v>100</v>
      </c>
      <c r="C105" s="140" t="s">
        <v>3302</v>
      </c>
      <c r="D105" s="140" t="s">
        <v>3185</v>
      </c>
      <c r="E105" s="140" t="s">
        <v>3187</v>
      </c>
      <c r="F105" s="140" t="s">
        <v>3181</v>
      </c>
      <c r="G105" s="140" t="s">
        <v>3182</v>
      </c>
      <c r="H105" s="140" t="s">
        <v>3190</v>
      </c>
      <c r="I105" s="140" t="s">
        <v>3186</v>
      </c>
      <c r="J105" s="140" t="s">
        <v>3192</v>
      </c>
      <c r="K105" s="141" t="s">
        <v>3191</v>
      </c>
    </row>
    <row r="106" customFormat="false" ht="15" hidden="false" customHeight="false" outlineLevel="0" collapsed="false">
      <c r="B106" s="139" t="n">
        <v>101</v>
      </c>
      <c r="C106" s="140" t="s">
        <v>3303</v>
      </c>
      <c r="D106" s="140" t="s">
        <v>3185</v>
      </c>
      <c r="E106" s="140" t="s">
        <v>3187</v>
      </c>
      <c r="F106" s="140" t="s">
        <v>3181</v>
      </c>
      <c r="G106" s="140" t="s">
        <v>3182</v>
      </c>
      <c r="H106" s="140" t="s">
        <v>3189</v>
      </c>
      <c r="I106" s="140" t="s">
        <v>3186</v>
      </c>
      <c r="J106" s="140" t="s">
        <v>3192</v>
      </c>
      <c r="K106" s="141" t="s">
        <v>3191</v>
      </c>
    </row>
    <row r="107" customFormat="false" ht="15" hidden="false" customHeight="false" outlineLevel="0" collapsed="false">
      <c r="B107" s="139" t="n">
        <v>102</v>
      </c>
      <c r="C107" s="140" t="s">
        <v>3304</v>
      </c>
      <c r="D107" s="140" t="s">
        <v>3185</v>
      </c>
      <c r="E107" s="140" t="s">
        <v>3187</v>
      </c>
      <c r="F107" s="140" t="s">
        <v>3181</v>
      </c>
      <c r="G107" s="140" t="s">
        <v>3182</v>
      </c>
      <c r="H107" s="140" t="s">
        <v>3190</v>
      </c>
      <c r="I107" s="140" t="s">
        <v>3186</v>
      </c>
      <c r="J107" s="140" t="s">
        <v>3192</v>
      </c>
      <c r="K107" s="141" t="s">
        <v>3189</v>
      </c>
    </row>
    <row r="108" customFormat="false" ht="15" hidden="false" customHeight="false" outlineLevel="0" collapsed="false">
      <c r="B108" s="139" t="n">
        <v>103</v>
      </c>
      <c r="C108" s="140" t="s">
        <v>3305</v>
      </c>
      <c r="D108" s="140" t="s">
        <v>3185</v>
      </c>
      <c r="E108" s="140" t="s">
        <v>3187</v>
      </c>
      <c r="F108" s="140" t="s">
        <v>3181</v>
      </c>
      <c r="G108" s="140" t="s">
        <v>3182</v>
      </c>
      <c r="H108" s="140" t="s">
        <v>3190</v>
      </c>
      <c r="I108" s="140" t="s">
        <v>3186</v>
      </c>
      <c r="J108" s="140" t="s">
        <v>3189</v>
      </c>
      <c r="K108" s="141" t="s">
        <v>3191</v>
      </c>
    </row>
    <row r="109" customFormat="false" ht="15" hidden="false" customHeight="false" outlineLevel="0" collapsed="false">
      <c r="B109" s="139" t="n">
        <v>104</v>
      </c>
      <c r="C109" s="140" t="s">
        <v>3306</v>
      </c>
      <c r="D109" s="140" t="s">
        <v>3185</v>
      </c>
      <c r="E109" s="140" t="s">
        <v>3187</v>
      </c>
      <c r="F109" s="140" t="s">
        <v>3181</v>
      </c>
      <c r="G109" s="140" t="s">
        <v>3182</v>
      </c>
      <c r="H109" s="140" t="s">
        <v>3188</v>
      </c>
      <c r="I109" s="140" t="s">
        <v>3186</v>
      </c>
      <c r="J109" s="140" t="s">
        <v>3192</v>
      </c>
      <c r="K109" s="141" t="s">
        <v>3191</v>
      </c>
    </row>
    <row r="110" customFormat="false" ht="15" hidden="false" customHeight="false" outlineLevel="0" collapsed="false">
      <c r="B110" s="139" t="n">
        <v>105</v>
      </c>
      <c r="C110" s="140" t="s">
        <v>3307</v>
      </c>
      <c r="D110" s="140" t="s">
        <v>3188</v>
      </c>
      <c r="E110" s="140" t="s">
        <v>3187</v>
      </c>
      <c r="F110" s="140" t="s">
        <v>3181</v>
      </c>
      <c r="G110" s="140" t="s">
        <v>3182</v>
      </c>
      <c r="H110" s="140" t="s">
        <v>3190</v>
      </c>
      <c r="I110" s="140" t="s">
        <v>3186</v>
      </c>
      <c r="J110" s="140" t="s">
        <v>3192</v>
      </c>
      <c r="K110" s="141" t="s">
        <v>3185</v>
      </c>
    </row>
    <row r="111" customFormat="false" ht="15" hidden="false" customHeight="false" outlineLevel="0" collapsed="false">
      <c r="B111" s="139" t="n">
        <v>106</v>
      </c>
      <c r="C111" s="140" t="s">
        <v>3308</v>
      </c>
      <c r="D111" s="140" t="s">
        <v>3188</v>
      </c>
      <c r="E111" s="140" t="s">
        <v>3187</v>
      </c>
      <c r="F111" s="140" t="s">
        <v>3181</v>
      </c>
      <c r="G111" s="140" t="s">
        <v>3182</v>
      </c>
      <c r="H111" s="140" t="s">
        <v>3190</v>
      </c>
      <c r="I111" s="140" t="s">
        <v>3186</v>
      </c>
      <c r="J111" s="140" t="s">
        <v>3185</v>
      </c>
      <c r="K111" s="141" t="s">
        <v>3191</v>
      </c>
    </row>
    <row r="112" customFormat="false" ht="15" hidden="false" customHeight="false" outlineLevel="0" collapsed="false">
      <c r="B112" s="139" t="n">
        <v>107</v>
      </c>
      <c r="C112" s="140" t="s">
        <v>3309</v>
      </c>
      <c r="D112" s="140" t="s">
        <v>3185</v>
      </c>
      <c r="E112" s="140" t="s">
        <v>3187</v>
      </c>
      <c r="F112" s="140" t="s">
        <v>3181</v>
      </c>
      <c r="G112" s="140" t="s">
        <v>3182</v>
      </c>
      <c r="H112" s="140" t="s">
        <v>3188</v>
      </c>
      <c r="I112" s="140" t="s">
        <v>3186</v>
      </c>
      <c r="J112" s="140" t="s">
        <v>3192</v>
      </c>
      <c r="K112" s="141" t="s">
        <v>3189</v>
      </c>
    </row>
    <row r="113" customFormat="false" ht="15" hidden="false" customHeight="false" outlineLevel="0" collapsed="false">
      <c r="B113" s="139" t="n">
        <v>108</v>
      </c>
      <c r="C113" s="140" t="s">
        <v>3310</v>
      </c>
      <c r="D113" s="140" t="s">
        <v>3185</v>
      </c>
      <c r="E113" s="140" t="s">
        <v>3187</v>
      </c>
      <c r="F113" s="140" t="s">
        <v>3181</v>
      </c>
      <c r="G113" s="140" t="s">
        <v>3182</v>
      </c>
      <c r="H113" s="140" t="s">
        <v>3188</v>
      </c>
      <c r="I113" s="140" t="s">
        <v>3186</v>
      </c>
      <c r="J113" s="140" t="s">
        <v>3189</v>
      </c>
      <c r="K113" s="141" t="s">
        <v>3191</v>
      </c>
    </row>
    <row r="114" customFormat="false" ht="15" hidden="false" customHeight="false" outlineLevel="0" collapsed="false">
      <c r="B114" s="139" t="n">
        <v>109</v>
      </c>
      <c r="C114" s="140" t="s">
        <v>3311</v>
      </c>
      <c r="D114" s="140" t="s">
        <v>3188</v>
      </c>
      <c r="E114" s="140" t="s">
        <v>3187</v>
      </c>
      <c r="F114" s="140" t="s">
        <v>3181</v>
      </c>
      <c r="G114" s="140" t="s">
        <v>3182</v>
      </c>
      <c r="H114" s="140" t="s">
        <v>3190</v>
      </c>
      <c r="I114" s="140" t="s">
        <v>3186</v>
      </c>
      <c r="J114" s="140" t="s">
        <v>3185</v>
      </c>
      <c r="K114" s="141" t="s">
        <v>3189</v>
      </c>
    </row>
    <row r="115" customFormat="false" ht="15" hidden="false" customHeight="false" outlineLevel="0" collapsed="false">
      <c r="B115" s="139" t="n">
        <v>110</v>
      </c>
      <c r="C115" s="140" t="s">
        <v>3312</v>
      </c>
      <c r="D115" s="140" t="s">
        <v>3188</v>
      </c>
      <c r="E115" s="140" t="s">
        <v>3190</v>
      </c>
      <c r="F115" s="140" t="s">
        <v>3181</v>
      </c>
      <c r="G115" s="140" t="s">
        <v>3182</v>
      </c>
      <c r="H115" s="140" t="s">
        <v>3189</v>
      </c>
      <c r="I115" s="140" t="s">
        <v>3184</v>
      </c>
      <c r="J115" s="140" t="s">
        <v>3192</v>
      </c>
      <c r="K115" s="141" t="s">
        <v>3191</v>
      </c>
    </row>
    <row r="116" customFormat="false" ht="15" hidden="false" customHeight="false" outlineLevel="0" collapsed="false">
      <c r="B116" s="139" t="n">
        <v>111</v>
      </c>
      <c r="C116" s="140" t="s">
        <v>3313</v>
      </c>
      <c r="D116" s="140" t="s">
        <v>3189</v>
      </c>
      <c r="E116" s="140" t="s">
        <v>3187</v>
      </c>
      <c r="F116" s="140" t="s">
        <v>3181</v>
      </c>
      <c r="G116" s="140" t="s">
        <v>3182</v>
      </c>
      <c r="H116" s="140" t="s">
        <v>3190</v>
      </c>
      <c r="I116" s="140" t="s">
        <v>3184</v>
      </c>
      <c r="J116" s="140" t="s">
        <v>3192</v>
      </c>
      <c r="K116" s="141" t="s">
        <v>3191</v>
      </c>
    </row>
    <row r="117" customFormat="false" ht="15" hidden="false" customHeight="false" outlineLevel="0" collapsed="false">
      <c r="B117" s="139" t="n">
        <v>112</v>
      </c>
      <c r="C117" s="140" t="s">
        <v>3314</v>
      </c>
      <c r="D117" s="140" t="s">
        <v>3188</v>
      </c>
      <c r="E117" s="140" t="s">
        <v>3187</v>
      </c>
      <c r="F117" s="140" t="s">
        <v>3181</v>
      </c>
      <c r="G117" s="140" t="s">
        <v>3182</v>
      </c>
      <c r="H117" s="140" t="s">
        <v>3190</v>
      </c>
      <c r="I117" s="140" t="s">
        <v>3184</v>
      </c>
      <c r="J117" s="140" t="s">
        <v>3192</v>
      </c>
      <c r="K117" s="141" t="s">
        <v>3191</v>
      </c>
    </row>
    <row r="118" customFormat="false" ht="15" hidden="false" customHeight="false" outlineLevel="0" collapsed="false">
      <c r="B118" s="139" t="n">
        <v>113</v>
      </c>
      <c r="C118" s="140" t="s">
        <v>3315</v>
      </c>
      <c r="D118" s="140" t="s">
        <v>3188</v>
      </c>
      <c r="E118" s="140" t="s">
        <v>3187</v>
      </c>
      <c r="F118" s="140" t="s">
        <v>3181</v>
      </c>
      <c r="G118" s="140" t="s">
        <v>3182</v>
      </c>
      <c r="H118" s="140" t="s">
        <v>3189</v>
      </c>
      <c r="I118" s="140" t="s">
        <v>3184</v>
      </c>
      <c r="J118" s="140" t="s">
        <v>3192</v>
      </c>
      <c r="K118" s="141" t="s">
        <v>3191</v>
      </c>
    </row>
    <row r="119" customFormat="false" ht="15" hidden="false" customHeight="false" outlineLevel="0" collapsed="false">
      <c r="B119" s="139" t="n">
        <v>114</v>
      </c>
      <c r="C119" s="140" t="s">
        <v>3316</v>
      </c>
      <c r="D119" s="140" t="s">
        <v>3188</v>
      </c>
      <c r="E119" s="140" t="s">
        <v>3187</v>
      </c>
      <c r="F119" s="140" t="s">
        <v>3181</v>
      </c>
      <c r="G119" s="140" t="s">
        <v>3182</v>
      </c>
      <c r="H119" s="140" t="s">
        <v>3190</v>
      </c>
      <c r="I119" s="140" t="s">
        <v>3184</v>
      </c>
      <c r="J119" s="140" t="s">
        <v>3192</v>
      </c>
      <c r="K119" s="141" t="s">
        <v>3189</v>
      </c>
    </row>
    <row r="120" customFormat="false" ht="15" hidden="false" customHeight="false" outlineLevel="0" collapsed="false">
      <c r="B120" s="139" t="n">
        <v>115</v>
      </c>
      <c r="C120" s="140" t="s">
        <v>3317</v>
      </c>
      <c r="D120" s="140" t="s">
        <v>3188</v>
      </c>
      <c r="E120" s="140" t="s">
        <v>3187</v>
      </c>
      <c r="F120" s="140" t="s">
        <v>3181</v>
      </c>
      <c r="G120" s="140" t="s">
        <v>3182</v>
      </c>
      <c r="H120" s="140" t="s">
        <v>3190</v>
      </c>
      <c r="I120" s="140" t="s">
        <v>3184</v>
      </c>
      <c r="J120" s="140" t="s">
        <v>3189</v>
      </c>
      <c r="K120" s="141" t="s">
        <v>3191</v>
      </c>
    </row>
    <row r="121" customFormat="false" ht="15" hidden="false" customHeight="false" outlineLevel="0" collapsed="false">
      <c r="B121" s="139" t="n">
        <v>116</v>
      </c>
      <c r="C121" s="140" t="s">
        <v>3318</v>
      </c>
      <c r="D121" s="140" t="s">
        <v>3182</v>
      </c>
      <c r="E121" s="140" t="s">
        <v>3190</v>
      </c>
      <c r="F121" s="140" t="s">
        <v>3181</v>
      </c>
      <c r="G121" s="140" t="s">
        <v>3184</v>
      </c>
      <c r="H121" s="140" t="s">
        <v>3189</v>
      </c>
      <c r="I121" s="140" t="s">
        <v>3186</v>
      </c>
      <c r="J121" s="140" t="s">
        <v>3192</v>
      </c>
      <c r="K121" s="141" t="s">
        <v>3191</v>
      </c>
    </row>
    <row r="122" customFormat="false" ht="15" hidden="false" customHeight="false" outlineLevel="0" collapsed="false">
      <c r="B122" s="139" t="n">
        <v>117</v>
      </c>
      <c r="C122" s="140" t="s">
        <v>3319</v>
      </c>
      <c r="D122" s="140" t="s">
        <v>3182</v>
      </c>
      <c r="E122" s="140" t="s">
        <v>3190</v>
      </c>
      <c r="F122" s="140" t="s">
        <v>3181</v>
      </c>
      <c r="G122" s="140" t="s">
        <v>3184</v>
      </c>
      <c r="H122" s="140" t="s">
        <v>3188</v>
      </c>
      <c r="I122" s="140" t="s">
        <v>3186</v>
      </c>
      <c r="J122" s="140" t="s">
        <v>3192</v>
      </c>
      <c r="K122" s="141" t="s">
        <v>3191</v>
      </c>
    </row>
    <row r="123" customFormat="false" ht="15" hidden="false" customHeight="false" outlineLevel="0" collapsed="false">
      <c r="B123" s="139" t="n">
        <v>118</v>
      </c>
      <c r="C123" s="140" t="s">
        <v>3320</v>
      </c>
      <c r="D123" s="140" t="s">
        <v>3182</v>
      </c>
      <c r="E123" s="140" t="s">
        <v>3189</v>
      </c>
      <c r="F123" s="140" t="s">
        <v>3181</v>
      </c>
      <c r="G123" s="140" t="s">
        <v>3184</v>
      </c>
      <c r="H123" s="140" t="s">
        <v>3188</v>
      </c>
      <c r="I123" s="140" t="s">
        <v>3186</v>
      </c>
      <c r="J123" s="140" t="s">
        <v>3192</v>
      </c>
      <c r="K123" s="141" t="s">
        <v>3191</v>
      </c>
    </row>
    <row r="124" customFormat="false" ht="15" hidden="false" customHeight="false" outlineLevel="0" collapsed="false">
      <c r="B124" s="139" t="n">
        <v>119</v>
      </c>
      <c r="C124" s="140" t="s">
        <v>3321</v>
      </c>
      <c r="D124" s="140" t="s">
        <v>3182</v>
      </c>
      <c r="E124" s="140" t="s">
        <v>3190</v>
      </c>
      <c r="F124" s="140" t="s">
        <v>3181</v>
      </c>
      <c r="G124" s="140" t="s">
        <v>3184</v>
      </c>
      <c r="H124" s="140" t="s">
        <v>3188</v>
      </c>
      <c r="I124" s="140" t="s">
        <v>3186</v>
      </c>
      <c r="J124" s="140" t="s">
        <v>3192</v>
      </c>
      <c r="K124" s="141" t="s">
        <v>3189</v>
      </c>
    </row>
    <row r="125" customFormat="false" ht="15" hidden="false" customHeight="false" outlineLevel="0" collapsed="false">
      <c r="B125" s="139" t="n">
        <v>120</v>
      </c>
      <c r="C125" s="140" t="s">
        <v>3322</v>
      </c>
      <c r="D125" s="140" t="s">
        <v>3182</v>
      </c>
      <c r="E125" s="140" t="s">
        <v>3190</v>
      </c>
      <c r="F125" s="140" t="s">
        <v>3181</v>
      </c>
      <c r="G125" s="140" t="s">
        <v>3184</v>
      </c>
      <c r="H125" s="140" t="s">
        <v>3188</v>
      </c>
      <c r="I125" s="140" t="s">
        <v>3186</v>
      </c>
      <c r="J125" s="140" t="s">
        <v>3189</v>
      </c>
      <c r="K125" s="141" t="s">
        <v>3191</v>
      </c>
    </row>
    <row r="126" customFormat="false" ht="15" hidden="false" customHeight="false" outlineLevel="0" collapsed="false">
      <c r="B126" s="139" t="n">
        <v>121</v>
      </c>
      <c r="C126" s="140" t="s">
        <v>3323</v>
      </c>
      <c r="D126" s="140" t="s">
        <v>3182</v>
      </c>
      <c r="E126" s="140" t="s">
        <v>3187</v>
      </c>
      <c r="F126" s="140" t="s">
        <v>3181</v>
      </c>
      <c r="G126" s="140" t="s">
        <v>3184</v>
      </c>
      <c r="H126" s="140" t="s">
        <v>3190</v>
      </c>
      <c r="I126" s="140" t="s">
        <v>3186</v>
      </c>
      <c r="J126" s="140" t="s">
        <v>3192</v>
      </c>
      <c r="K126" s="141" t="s">
        <v>3191</v>
      </c>
    </row>
    <row r="127" customFormat="false" ht="15" hidden="false" customHeight="false" outlineLevel="0" collapsed="false">
      <c r="B127" s="139" t="n">
        <v>122</v>
      </c>
      <c r="C127" s="140" t="s">
        <v>3324</v>
      </c>
      <c r="D127" s="140" t="s">
        <v>3182</v>
      </c>
      <c r="E127" s="140" t="s">
        <v>3187</v>
      </c>
      <c r="F127" s="140" t="s">
        <v>3181</v>
      </c>
      <c r="G127" s="140" t="s">
        <v>3184</v>
      </c>
      <c r="H127" s="140" t="s">
        <v>3189</v>
      </c>
      <c r="I127" s="140" t="s">
        <v>3186</v>
      </c>
      <c r="J127" s="140" t="s">
        <v>3192</v>
      </c>
      <c r="K127" s="141" t="s">
        <v>3191</v>
      </c>
    </row>
    <row r="128" customFormat="false" ht="15" hidden="false" customHeight="false" outlineLevel="0" collapsed="false">
      <c r="B128" s="139" t="n">
        <v>123</v>
      </c>
      <c r="C128" s="140" t="s">
        <v>3325</v>
      </c>
      <c r="D128" s="140" t="s">
        <v>3182</v>
      </c>
      <c r="E128" s="140" t="s">
        <v>3187</v>
      </c>
      <c r="F128" s="140" t="s">
        <v>3181</v>
      </c>
      <c r="G128" s="140" t="s">
        <v>3184</v>
      </c>
      <c r="H128" s="140" t="s">
        <v>3190</v>
      </c>
      <c r="I128" s="140" t="s">
        <v>3186</v>
      </c>
      <c r="J128" s="140" t="s">
        <v>3192</v>
      </c>
      <c r="K128" s="141" t="s">
        <v>3189</v>
      </c>
    </row>
    <row r="129" customFormat="false" ht="15" hidden="false" customHeight="false" outlineLevel="0" collapsed="false">
      <c r="B129" s="139" t="n">
        <v>124</v>
      </c>
      <c r="C129" s="140" t="s">
        <v>3326</v>
      </c>
      <c r="D129" s="140" t="s">
        <v>3182</v>
      </c>
      <c r="E129" s="140" t="s">
        <v>3187</v>
      </c>
      <c r="F129" s="140" t="s">
        <v>3181</v>
      </c>
      <c r="G129" s="140" t="s">
        <v>3184</v>
      </c>
      <c r="H129" s="140" t="s">
        <v>3190</v>
      </c>
      <c r="I129" s="140" t="s">
        <v>3186</v>
      </c>
      <c r="J129" s="140" t="s">
        <v>3189</v>
      </c>
      <c r="K129" s="141" t="s">
        <v>3191</v>
      </c>
    </row>
    <row r="130" customFormat="false" ht="15" hidden="false" customHeight="false" outlineLevel="0" collapsed="false">
      <c r="B130" s="139" t="n">
        <v>125</v>
      </c>
      <c r="C130" s="140" t="s">
        <v>3327</v>
      </c>
      <c r="D130" s="140" t="s">
        <v>3182</v>
      </c>
      <c r="E130" s="140" t="s">
        <v>3187</v>
      </c>
      <c r="F130" s="140" t="s">
        <v>3181</v>
      </c>
      <c r="G130" s="140" t="s">
        <v>3184</v>
      </c>
      <c r="H130" s="140" t="s">
        <v>3188</v>
      </c>
      <c r="I130" s="140" t="s">
        <v>3186</v>
      </c>
      <c r="J130" s="140" t="s">
        <v>3192</v>
      </c>
      <c r="K130" s="141" t="s">
        <v>3191</v>
      </c>
    </row>
    <row r="131" customFormat="false" ht="15" hidden="false" customHeight="false" outlineLevel="0" collapsed="false">
      <c r="B131" s="139" t="n">
        <v>126</v>
      </c>
      <c r="C131" s="140" t="s">
        <v>3328</v>
      </c>
      <c r="D131" s="140" t="s">
        <v>3182</v>
      </c>
      <c r="E131" s="140" t="s">
        <v>3187</v>
      </c>
      <c r="F131" s="140" t="s">
        <v>3181</v>
      </c>
      <c r="G131" s="140" t="s">
        <v>3184</v>
      </c>
      <c r="H131" s="140" t="s">
        <v>3188</v>
      </c>
      <c r="I131" s="140" t="s">
        <v>3186</v>
      </c>
      <c r="J131" s="140" t="s">
        <v>3192</v>
      </c>
      <c r="K131" s="141" t="s">
        <v>3190</v>
      </c>
    </row>
    <row r="132" customFormat="false" ht="15" hidden="false" customHeight="false" outlineLevel="0" collapsed="false">
      <c r="B132" s="139" t="n">
        <v>127</v>
      </c>
      <c r="C132" s="140" t="s">
        <v>3329</v>
      </c>
      <c r="D132" s="140" t="s">
        <v>3188</v>
      </c>
      <c r="E132" s="140" t="s">
        <v>3187</v>
      </c>
      <c r="F132" s="140" t="s">
        <v>3181</v>
      </c>
      <c r="G132" s="140" t="s">
        <v>3182</v>
      </c>
      <c r="H132" s="140" t="s">
        <v>3190</v>
      </c>
      <c r="I132" s="140" t="s">
        <v>3186</v>
      </c>
      <c r="J132" s="140" t="s">
        <v>3184</v>
      </c>
      <c r="K132" s="141" t="s">
        <v>3191</v>
      </c>
    </row>
    <row r="133" customFormat="false" ht="15" hidden="false" customHeight="false" outlineLevel="0" collapsed="false">
      <c r="B133" s="139" t="n">
        <v>128</v>
      </c>
      <c r="C133" s="140" t="s">
        <v>3330</v>
      </c>
      <c r="D133" s="140" t="s">
        <v>3182</v>
      </c>
      <c r="E133" s="140" t="s">
        <v>3187</v>
      </c>
      <c r="F133" s="140" t="s">
        <v>3181</v>
      </c>
      <c r="G133" s="140" t="s">
        <v>3184</v>
      </c>
      <c r="H133" s="140" t="s">
        <v>3188</v>
      </c>
      <c r="I133" s="140" t="s">
        <v>3186</v>
      </c>
      <c r="J133" s="140" t="s">
        <v>3192</v>
      </c>
      <c r="K133" s="141" t="s">
        <v>3189</v>
      </c>
    </row>
    <row r="134" customFormat="false" ht="15" hidden="false" customHeight="false" outlineLevel="0" collapsed="false">
      <c r="B134" s="139" t="n">
        <v>129</v>
      </c>
      <c r="C134" s="140" t="s">
        <v>3331</v>
      </c>
      <c r="D134" s="140" t="s">
        <v>3182</v>
      </c>
      <c r="E134" s="140" t="s">
        <v>3187</v>
      </c>
      <c r="F134" s="140" t="s">
        <v>3181</v>
      </c>
      <c r="G134" s="140" t="s">
        <v>3184</v>
      </c>
      <c r="H134" s="140" t="s">
        <v>3188</v>
      </c>
      <c r="I134" s="140" t="s">
        <v>3186</v>
      </c>
      <c r="J134" s="140" t="s">
        <v>3189</v>
      </c>
      <c r="K134" s="141" t="s">
        <v>3191</v>
      </c>
    </row>
    <row r="135" customFormat="false" ht="15" hidden="false" customHeight="false" outlineLevel="0" collapsed="false">
      <c r="B135" s="139" t="n">
        <v>130</v>
      </c>
      <c r="C135" s="140" t="s">
        <v>3332</v>
      </c>
      <c r="D135" s="140" t="s">
        <v>3188</v>
      </c>
      <c r="E135" s="140" t="s">
        <v>3187</v>
      </c>
      <c r="F135" s="140" t="s">
        <v>3181</v>
      </c>
      <c r="G135" s="140" t="s">
        <v>3182</v>
      </c>
      <c r="H135" s="140" t="s">
        <v>3190</v>
      </c>
      <c r="I135" s="140" t="s">
        <v>3186</v>
      </c>
      <c r="J135" s="140" t="s">
        <v>3184</v>
      </c>
      <c r="K135" s="141" t="s">
        <v>3189</v>
      </c>
    </row>
    <row r="136" customFormat="false" ht="15" hidden="false" customHeight="false" outlineLevel="0" collapsed="false">
      <c r="B136" s="139" t="n">
        <v>131</v>
      </c>
      <c r="C136" s="140" t="s">
        <v>3333</v>
      </c>
      <c r="D136" s="140" t="s">
        <v>3185</v>
      </c>
      <c r="E136" s="140" t="s">
        <v>3190</v>
      </c>
      <c r="F136" s="140" t="s">
        <v>3181</v>
      </c>
      <c r="G136" s="140" t="s">
        <v>3182</v>
      </c>
      <c r="H136" s="140" t="s">
        <v>3189</v>
      </c>
      <c r="I136" s="140" t="s">
        <v>3184</v>
      </c>
      <c r="J136" s="140" t="s">
        <v>3192</v>
      </c>
      <c r="K136" s="141" t="s">
        <v>3191</v>
      </c>
    </row>
    <row r="137" customFormat="false" ht="15" hidden="false" customHeight="false" outlineLevel="0" collapsed="false">
      <c r="B137" s="139" t="n">
        <v>132</v>
      </c>
      <c r="C137" s="140" t="s">
        <v>3334</v>
      </c>
      <c r="D137" s="140" t="s">
        <v>3185</v>
      </c>
      <c r="E137" s="140" t="s">
        <v>3190</v>
      </c>
      <c r="F137" s="140" t="s">
        <v>3181</v>
      </c>
      <c r="G137" s="140" t="s">
        <v>3182</v>
      </c>
      <c r="H137" s="140" t="s">
        <v>3188</v>
      </c>
      <c r="I137" s="140" t="s">
        <v>3184</v>
      </c>
      <c r="J137" s="140" t="s">
        <v>3192</v>
      </c>
      <c r="K137" s="141" t="s">
        <v>3191</v>
      </c>
    </row>
    <row r="138" customFormat="false" ht="15" hidden="false" customHeight="false" outlineLevel="0" collapsed="false">
      <c r="B138" s="139" t="n">
        <v>133</v>
      </c>
      <c r="C138" s="140" t="s">
        <v>3335</v>
      </c>
      <c r="D138" s="140" t="s">
        <v>3185</v>
      </c>
      <c r="E138" s="140" t="s">
        <v>3189</v>
      </c>
      <c r="F138" s="140" t="s">
        <v>3181</v>
      </c>
      <c r="G138" s="140" t="s">
        <v>3182</v>
      </c>
      <c r="H138" s="140" t="s">
        <v>3188</v>
      </c>
      <c r="I138" s="140" t="s">
        <v>3184</v>
      </c>
      <c r="J138" s="140" t="s">
        <v>3192</v>
      </c>
      <c r="K138" s="141" t="s">
        <v>3191</v>
      </c>
    </row>
    <row r="139" customFormat="false" ht="15" hidden="false" customHeight="false" outlineLevel="0" collapsed="false">
      <c r="B139" s="139" t="n">
        <v>134</v>
      </c>
      <c r="C139" s="140" t="s">
        <v>3336</v>
      </c>
      <c r="D139" s="140" t="s">
        <v>3185</v>
      </c>
      <c r="E139" s="140" t="s">
        <v>3190</v>
      </c>
      <c r="F139" s="140" t="s">
        <v>3181</v>
      </c>
      <c r="G139" s="140" t="s">
        <v>3182</v>
      </c>
      <c r="H139" s="140" t="s">
        <v>3188</v>
      </c>
      <c r="I139" s="140" t="s">
        <v>3184</v>
      </c>
      <c r="J139" s="140" t="s">
        <v>3192</v>
      </c>
      <c r="K139" s="141" t="s">
        <v>3189</v>
      </c>
    </row>
    <row r="140" customFormat="false" ht="15" hidden="false" customHeight="false" outlineLevel="0" collapsed="false">
      <c r="B140" s="139" t="n">
        <v>135</v>
      </c>
      <c r="C140" s="140" t="s">
        <v>3337</v>
      </c>
      <c r="D140" s="140" t="s">
        <v>3185</v>
      </c>
      <c r="E140" s="140" t="s">
        <v>3190</v>
      </c>
      <c r="F140" s="140" t="s">
        <v>3181</v>
      </c>
      <c r="G140" s="140" t="s">
        <v>3182</v>
      </c>
      <c r="H140" s="140" t="s">
        <v>3188</v>
      </c>
      <c r="I140" s="140" t="s">
        <v>3184</v>
      </c>
      <c r="J140" s="140" t="s">
        <v>3189</v>
      </c>
      <c r="K140" s="141" t="s">
        <v>3191</v>
      </c>
    </row>
    <row r="141" customFormat="false" ht="15" hidden="false" customHeight="false" outlineLevel="0" collapsed="false">
      <c r="B141" s="139" t="n">
        <v>136</v>
      </c>
      <c r="C141" s="140" t="s">
        <v>3338</v>
      </c>
      <c r="D141" s="140" t="s">
        <v>3185</v>
      </c>
      <c r="E141" s="140" t="s">
        <v>3187</v>
      </c>
      <c r="F141" s="140" t="s">
        <v>3181</v>
      </c>
      <c r="G141" s="140" t="s">
        <v>3182</v>
      </c>
      <c r="H141" s="140" t="s">
        <v>3190</v>
      </c>
      <c r="I141" s="140" t="s">
        <v>3184</v>
      </c>
      <c r="J141" s="140" t="s">
        <v>3192</v>
      </c>
      <c r="K141" s="141" t="s">
        <v>3191</v>
      </c>
    </row>
    <row r="142" customFormat="false" ht="15" hidden="false" customHeight="false" outlineLevel="0" collapsed="false">
      <c r="B142" s="139" t="n">
        <v>137</v>
      </c>
      <c r="C142" s="140" t="s">
        <v>3339</v>
      </c>
      <c r="D142" s="140" t="s">
        <v>3185</v>
      </c>
      <c r="E142" s="140" t="s">
        <v>3187</v>
      </c>
      <c r="F142" s="140" t="s">
        <v>3181</v>
      </c>
      <c r="G142" s="140" t="s">
        <v>3182</v>
      </c>
      <c r="H142" s="140" t="s">
        <v>3189</v>
      </c>
      <c r="I142" s="140" t="s">
        <v>3184</v>
      </c>
      <c r="J142" s="140" t="s">
        <v>3192</v>
      </c>
      <c r="K142" s="141" t="s">
        <v>3191</v>
      </c>
    </row>
    <row r="143" customFormat="false" ht="15" hidden="false" customHeight="false" outlineLevel="0" collapsed="false">
      <c r="B143" s="139" t="n">
        <v>138</v>
      </c>
      <c r="C143" s="140" t="s">
        <v>3340</v>
      </c>
      <c r="D143" s="140" t="s">
        <v>3185</v>
      </c>
      <c r="E143" s="140" t="s">
        <v>3187</v>
      </c>
      <c r="F143" s="140" t="s">
        <v>3181</v>
      </c>
      <c r="G143" s="140" t="s">
        <v>3182</v>
      </c>
      <c r="H143" s="140" t="s">
        <v>3190</v>
      </c>
      <c r="I143" s="140" t="s">
        <v>3184</v>
      </c>
      <c r="J143" s="140" t="s">
        <v>3192</v>
      </c>
      <c r="K143" s="141" t="s">
        <v>3189</v>
      </c>
    </row>
    <row r="144" customFormat="false" ht="15" hidden="false" customHeight="false" outlineLevel="0" collapsed="false">
      <c r="B144" s="139" t="n">
        <v>139</v>
      </c>
      <c r="C144" s="140" t="s">
        <v>3341</v>
      </c>
      <c r="D144" s="140" t="s">
        <v>3185</v>
      </c>
      <c r="E144" s="140" t="s">
        <v>3187</v>
      </c>
      <c r="F144" s="140" t="s">
        <v>3181</v>
      </c>
      <c r="G144" s="140" t="s">
        <v>3182</v>
      </c>
      <c r="H144" s="140" t="s">
        <v>3190</v>
      </c>
      <c r="I144" s="140" t="s">
        <v>3184</v>
      </c>
      <c r="J144" s="140" t="s">
        <v>3189</v>
      </c>
      <c r="K144" s="141" t="s">
        <v>3191</v>
      </c>
    </row>
    <row r="145" customFormat="false" ht="15" hidden="false" customHeight="false" outlineLevel="0" collapsed="false">
      <c r="B145" s="139" t="n">
        <v>140</v>
      </c>
      <c r="C145" s="140" t="s">
        <v>3342</v>
      </c>
      <c r="D145" s="140" t="s">
        <v>3185</v>
      </c>
      <c r="E145" s="140" t="s">
        <v>3187</v>
      </c>
      <c r="F145" s="140" t="s">
        <v>3181</v>
      </c>
      <c r="G145" s="140" t="s">
        <v>3182</v>
      </c>
      <c r="H145" s="140" t="s">
        <v>3188</v>
      </c>
      <c r="I145" s="140" t="s">
        <v>3184</v>
      </c>
      <c r="J145" s="140" t="s">
        <v>3192</v>
      </c>
      <c r="K145" s="141" t="s">
        <v>3191</v>
      </c>
    </row>
    <row r="146" customFormat="false" ht="15" hidden="false" customHeight="false" outlineLevel="0" collapsed="false">
      <c r="B146" s="139" t="n">
        <v>141</v>
      </c>
      <c r="C146" s="140" t="s">
        <v>3343</v>
      </c>
      <c r="D146" s="140" t="s">
        <v>3188</v>
      </c>
      <c r="E146" s="140" t="s">
        <v>3187</v>
      </c>
      <c r="F146" s="140" t="s">
        <v>3181</v>
      </c>
      <c r="G146" s="140" t="s">
        <v>3182</v>
      </c>
      <c r="H146" s="140" t="s">
        <v>3190</v>
      </c>
      <c r="I146" s="140" t="s">
        <v>3184</v>
      </c>
      <c r="J146" s="140" t="s">
        <v>3192</v>
      </c>
      <c r="K146" s="141" t="s">
        <v>3185</v>
      </c>
    </row>
    <row r="147" customFormat="false" ht="15" hidden="false" customHeight="false" outlineLevel="0" collapsed="false">
      <c r="B147" s="139" t="n">
        <v>142</v>
      </c>
      <c r="C147" s="140" t="s">
        <v>3344</v>
      </c>
      <c r="D147" s="140" t="s">
        <v>3188</v>
      </c>
      <c r="E147" s="140" t="s">
        <v>3187</v>
      </c>
      <c r="F147" s="140" t="s">
        <v>3181</v>
      </c>
      <c r="G147" s="140" t="s">
        <v>3182</v>
      </c>
      <c r="H147" s="140" t="s">
        <v>3190</v>
      </c>
      <c r="I147" s="140" t="s">
        <v>3184</v>
      </c>
      <c r="J147" s="140" t="s">
        <v>3185</v>
      </c>
      <c r="K147" s="141" t="s">
        <v>3191</v>
      </c>
    </row>
    <row r="148" customFormat="false" ht="15" hidden="false" customHeight="false" outlineLevel="0" collapsed="false">
      <c r="B148" s="139" t="n">
        <v>143</v>
      </c>
      <c r="C148" s="140" t="s">
        <v>3345</v>
      </c>
      <c r="D148" s="140" t="s">
        <v>3185</v>
      </c>
      <c r="E148" s="140" t="s">
        <v>3187</v>
      </c>
      <c r="F148" s="140" t="s">
        <v>3181</v>
      </c>
      <c r="G148" s="140" t="s">
        <v>3182</v>
      </c>
      <c r="H148" s="140" t="s">
        <v>3188</v>
      </c>
      <c r="I148" s="140" t="s">
        <v>3184</v>
      </c>
      <c r="J148" s="140" t="s">
        <v>3192</v>
      </c>
      <c r="K148" s="141" t="s">
        <v>3189</v>
      </c>
    </row>
    <row r="149" customFormat="false" ht="15" hidden="false" customHeight="false" outlineLevel="0" collapsed="false">
      <c r="B149" s="139" t="n">
        <v>144</v>
      </c>
      <c r="C149" s="140" t="s">
        <v>3346</v>
      </c>
      <c r="D149" s="140" t="s">
        <v>3185</v>
      </c>
      <c r="E149" s="140" t="s">
        <v>3187</v>
      </c>
      <c r="F149" s="140" t="s">
        <v>3181</v>
      </c>
      <c r="G149" s="140" t="s">
        <v>3182</v>
      </c>
      <c r="H149" s="140" t="s">
        <v>3188</v>
      </c>
      <c r="I149" s="140" t="s">
        <v>3184</v>
      </c>
      <c r="J149" s="140" t="s">
        <v>3189</v>
      </c>
      <c r="K149" s="141" t="s">
        <v>3191</v>
      </c>
    </row>
    <row r="150" customFormat="false" ht="15" hidden="false" customHeight="false" outlineLevel="0" collapsed="false">
      <c r="B150" s="139" t="n">
        <v>145</v>
      </c>
      <c r="C150" s="140" t="s">
        <v>3347</v>
      </c>
      <c r="D150" s="140" t="s">
        <v>3188</v>
      </c>
      <c r="E150" s="140" t="s">
        <v>3187</v>
      </c>
      <c r="F150" s="140" t="s">
        <v>3181</v>
      </c>
      <c r="G150" s="140" t="s">
        <v>3182</v>
      </c>
      <c r="H150" s="140" t="s">
        <v>3190</v>
      </c>
      <c r="I150" s="140" t="s">
        <v>3184</v>
      </c>
      <c r="J150" s="140" t="s">
        <v>3185</v>
      </c>
      <c r="K150" s="141" t="s">
        <v>3189</v>
      </c>
    </row>
    <row r="151" customFormat="false" ht="15" hidden="false" customHeight="false" outlineLevel="0" collapsed="false">
      <c r="B151" s="139" t="n">
        <v>146</v>
      </c>
      <c r="C151" s="140" t="s">
        <v>3348</v>
      </c>
      <c r="D151" s="140" t="s">
        <v>3182</v>
      </c>
      <c r="E151" s="140" t="s">
        <v>3190</v>
      </c>
      <c r="F151" s="140" t="s">
        <v>3181</v>
      </c>
      <c r="G151" s="140" t="s">
        <v>3184</v>
      </c>
      <c r="H151" s="140" t="s">
        <v>3185</v>
      </c>
      <c r="I151" s="140" t="s">
        <v>3186</v>
      </c>
      <c r="J151" s="140" t="s">
        <v>3192</v>
      </c>
      <c r="K151" s="141" t="s">
        <v>3191</v>
      </c>
    </row>
    <row r="152" customFormat="false" ht="15" hidden="false" customHeight="false" outlineLevel="0" collapsed="false">
      <c r="B152" s="139" t="n">
        <v>147</v>
      </c>
      <c r="C152" s="140" t="s">
        <v>3349</v>
      </c>
      <c r="D152" s="140" t="s">
        <v>3182</v>
      </c>
      <c r="E152" s="140" t="s">
        <v>3185</v>
      </c>
      <c r="F152" s="140" t="s">
        <v>3181</v>
      </c>
      <c r="G152" s="140" t="s">
        <v>3184</v>
      </c>
      <c r="H152" s="140" t="s">
        <v>3189</v>
      </c>
      <c r="I152" s="140" t="s">
        <v>3186</v>
      </c>
      <c r="J152" s="140" t="s">
        <v>3192</v>
      </c>
      <c r="K152" s="141" t="s">
        <v>3191</v>
      </c>
    </row>
    <row r="153" customFormat="false" ht="15" hidden="false" customHeight="false" outlineLevel="0" collapsed="false">
      <c r="B153" s="139" t="n">
        <v>148</v>
      </c>
      <c r="C153" s="140" t="s">
        <v>3350</v>
      </c>
      <c r="D153" s="140" t="s">
        <v>3182</v>
      </c>
      <c r="E153" s="140" t="s">
        <v>3190</v>
      </c>
      <c r="F153" s="140" t="s">
        <v>3181</v>
      </c>
      <c r="G153" s="140" t="s">
        <v>3184</v>
      </c>
      <c r="H153" s="140" t="s">
        <v>3185</v>
      </c>
      <c r="I153" s="140" t="s">
        <v>3186</v>
      </c>
      <c r="J153" s="140" t="s">
        <v>3192</v>
      </c>
      <c r="K153" s="141" t="s">
        <v>3189</v>
      </c>
    </row>
    <row r="154" customFormat="false" ht="15" hidden="false" customHeight="false" outlineLevel="0" collapsed="false">
      <c r="B154" s="139" t="n">
        <v>149</v>
      </c>
      <c r="C154" s="140" t="s">
        <v>3351</v>
      </c>
      <c r="D154" s="140" t="s">
        <v>3182</v>
      </c>
      <c r="E154" s="140" t="s">
        <v>3190</v>
      </c>
      <c r="F154" s="140" t="s">
        <v>3181</v>
      </c>
      <c r="G154" s="140" t="s">
        <v>3184</v>
      </c>
      <c r="H154" s="140" t="s">
        <v>3185</v>
      </c>
      <c r="I154" s="140" t="s">
        <v>3186</v>
      </c>
      <c r="J154" s="140" t="s">
        <v>3189</v>
      </c>
      <c r="K154" s="141" t="s">
        <v>3191</v>
      </c>
    </row>
    <row r="155" customFormat="false" ht="15" hidden="false" customHeight="false" outlineLevel="0" collapsed="false">
      <c r="B155" s="139" t="n">
        <v>150</v>
      </c>
      <c r="C155" s="140" t="s">
        <v>3352</v>
      </c>
      <c r="D155" s="140" t="s">
        <v>3182</v>
      </c>
      <c r="E155" s="140" t="s">
        <v>3185</v>
      </c>
      <c r="F155" s="140" t="s">
        <v>3181</v>
      </c>
      <c r="G155" s="140" t="s">
        <v>3184</v>
      </c>
      <c r="H155" s="140" t="s">
        <v>3188</v>
      </c>
      <c r="I155" s="140" t="s">
        <v>3186</v>
      </c>
      <c r="J155" s="140" t="s">
        <v>3192</v>
      </c>
      <c r="K155" s="141" t="s">
        <v>3191</v>
      </c>
    </row>
    <row r="156" customFormat="false" ht="15" hidden="false" customHeight="false" outlineLevel="0" collapsed="false">
      <c r="B156" s="139" t="n">
        <v>151</v>
      </c>
      <c r="C156" s="140" t="s">
        <v>3353</v>
      </c>
      <c r="D156" s="140" t="s">
        <v>3182</v>
      </c>
      <c r="E156" s="140" t="s">
        <v>3190</v>
      </c>
      <c r="F156" s="140" t="s">
        <v>3181</v>
      </c>
      <c r="G156" s="140" t="s">
        <v>3184</v>
      </c>
      <c r="H156" s="140" t="s">
        <v>3188</v>
      </c>
      <c r="I156" s="140" t="s">
        <v>3186</v>
      </c>
      <c r="J156" s="140" t="s">
        <v>3192</v>
      </c>
      <c r="K156" s="141" t="s">
        <v>3185</v>
      </c>
    </row>
    <row r="157" customFormat="false" ht="15" hidden="false" customHeight="false" outlineLevel="0" collapsed="false">
      <c r="B157" s="139" t="n">
        <v>152</v>
      </c>
      <c r="C157" s="140" t="s">
        <v>3354</v>
      </c>
      <c r="D157" s="140" t="s">
        <v>3182</v>
      </c>
      <c r="E157" s="140" t="s">
        <v>3190</v>
      </c>
      <c r="F157" s="140" t="s">
        <v>3181</v>
      </c>
      <c r="G157" s="140" t="s">
        <v>3184</v>
      </c>
      <c r="H157" s="140" t="s">
        <v>3188</v>
      </c>
      <c r="I157" s="140" t="s">
        <v>3186</v>
      </c>
      <c r="J157" s="140" t="s">
        <v>3185</v>
      </c>
      <c r="K157" s="141" t="s">
        <v>3191</v>
      </c>
    </row>
    <row r="158" customFormat="false" ht="15" hidden="false" customHeight="false" outlineLevel="0" collapsed="false">
      <c r="B158" s="139" t="n">
        <v>153</v>
      </c>
      <c r="C158" s="140" t="s">
        <v>3355</v>
      </c>
      <c r="D158" s="140" t="s">
        <v>3182</v>
      </c>
      <c r="E158" s="140" t="s">
        <v>3185</v>
      </c>
      <c r="F158" s="140" t="s">
        <v>3181</v>
      </c>
      <c r="G158" s="140" t="s">
        <v>3184</v>
      </c>
      <c r="H158" s="140" t="s">
        <v>3188</v>
      </c>
      <c r="I158" s="140" t="s">
        <v>3186</v>
      </c>
      <c r="J158" s="140" t="s">
        <v>3192</v>
      </c>
      <c r="K158" s="141" t="s">
        <v>3189</v>
      </c>
    </row>
    <row r="159" customFormat="false" ht="15" hidden="false" customHeight="false" outlineLevel="0" collapsed="false">
      <c r="B159" s="139" t="n">
        <v>154</v>
      </c>
      <c r="C159" s="140" t="s">
        <v>3356</v>
      </c>
      <c r="D159" s="140" t="s">
        <v>3182</v>
      </c>
      <c r="E159" s="140" t="s">
        <v>3185</v>
      </c>
      <c r="F159" s="140" t="s">
        <v>3181</v>
      </c>
      <c r="G159" s="140" t="s">
        <v>3184</v>
      </c>
      <c r="H159" s="140" t="s">
        <v>3188</v>
      </c>
      <c r="I159" s="140" t="s">
        <v>3186</v>
      </c>
      <c r="J159" s="140" t="s">
        <v>3189</v>
      </c>
      <c r="K159" s="141" t="s">
        <v>3191</v>
      </c>
    </row>
    <row r="160" customFormat="false" ht="15" hidden="false" customHeight="false" outlineLevel="0" collapsed="false">
      <c r="B160" s="139" t="n">
        <v>155</v>
      </c>
      <c r="C160" s="140" t="s">
        <v>3357</v>
      </c>
      <c r="D160" s="140" t="s">
        <v>3182</v>
      </c>
      <c r="E160" s="140" t="s">
        <v>3190</v>
      </c>
      <c r="F160" s="140" t="s">
        <v>3181</v>
      </c>
      <c r="G160" s="140" t="s">
        <v>3184</v>
      </c>
      <c r="H160" s="140" t="s">
        <v>3188</v>
      </c>
      <c r="I160" s="140" t="s">
        <v>3186</v>
      </c>
      <c r="J160" s="140" t="s">
        <v>3185</v>
      </c>
      <c r="K160" s="141" t="s">
        <v>3189</v>
      </c>
    </row>
    <row r="161" customFormat="false" ht="15" hidden="false" customHeight="false" outlineLevel="0" collapsed="false">
      <c r="B161" s="139" t="n">
        <v>156</v>
      </c>
      <c r="C161" s="140" t="s">
        <v>3358</v>
      </c>
      <c r="D161" s="140" t="s">
        <v>3182</v>
      </c>
      <c r="E161" s="140" t="s">
        <v>3187</v>
      </c>
      <c r="F161" s="140" t="s">
        <v>3181</v>
      </c>
      <c r="G161" s="140" t="s">
        <v>3184</v>
      </c>
      <c r="H161" s="140" t="s">
        <v>3185</v>
      </c>
      <c r="I161" s="140" t="s">
        <v>3186</v>
      </c>
      <c r="J161" s="140" t="s">
        <v>3192</v>
      </c>
      <c r="K161" s="141" t="s">
        <v>3191</v>
      </c>
    </row>
    <row r="162" customFormat="false" ht="15" hidden="false" customHeight="false" outlineLevel="0" collapsed="false">
      <c r="B162" s="139" t="n">
        <v>157</v>
      </c>
      <c r="C162" s="140" t="s">
        <v>3359</v>
      </c>
      <c r="D162" s="140" t="s">
        <v>3182</v>
      </c>
      <c r="E162" s="140" t="s">
        <v>3187</v>
      </c>
      <c r="F162" s="140" t="s">
        <v>3181</v>
      </c>
      <c r="G162" s="140" t="s">
        <v>3184</v>
      </c>
      <c r="H162" s="140" t="s">
        <v>3190</v>
      </c>
      <c r="I162" s="140" t="s">
        <v>3186</v>
      </c>
      <c r="J162" s="140" t="s">
        <v>3192</v>
      </c>
      <c r="K162" s="141" t="s">
        <v>3185</v>
      </c>
    </row>
    <row r="163" customFormat="false" ht="15" hidden="false" customHeight="false" outlineLevel="0" collapsed="false">
      <c r="B163" s="139" t="n">
        <v>158</v>
      </c>
      <c r="C163" s="140" t="s">
        <v>3360</v>
      </c>
      <c r="D163" s="140" t="s">
        <v>3182</v>
      </c>
      <c r="E163" s="140" t="s">
        <v>3187</v>
      </c>
      <c r="F163" s="140" t="s">
        <v>3181</v>
      </c>
      <c r="G163" s="140" t="s">
        <v>3184</v>
      </c>
      <c r="H163" s="140" t="s">
        <v>3190</v>
      </c>
      <c r="I163" s="140" t="s">
        <v>3186</v>
      </c>
      <c r="J163" s="140" t="s">
        <v>3185</v>
      </c>
      <c r="K163" s="141" t="s">
        <v>3191</v>
      </c>
    </row>
    <row r="164" customFormat="false" ht="15" hidden="false" customHeight="false" outlineLevel="0" collapsed="false">
      <c r="B164" s="139" t="n">
        <v>159</v>
      </c>
      <c r="C164" s="140" t="s">
        <v>3361</v>
      </c>
      <c r="D164" s="140" t="s">
        <v>3182</v>
      </c>
      <c r="E164" s="140" t="s">
        <v>3187</v>
      </c>
      <c r="F164" s="140" t="s">
        <v>3181</v>
      </c>
      <c r="G164" s="140" t="s">
        <v>3184</v>
      </c>
      <c r="H164" s="140" t="s">
        <v>3185</v>
      </c>
      <c r="I164" s="140" t="s">
        <v>3186</v>
      </c>
      <c r="J164" s="140" t="s">
        <v>3192</v>
      </c>
      <c r="K164" s="141" t="s">
        <v>3189</v>
      </c>
    </row>
    <row r="165" customFormat="false" ht="15" hidden="false" customHeight="false" outlineLevel="0" collapsed="false">
      <c r="B165" s="139" t="n">
        <v>160</v>
      </c>
      <c r="C165" s="140" t="s">
        <v>3362</v>
      </c>
      <c r="D165" s="140" t="s">
        <v>3182</v>
      </c>
      <c r="E165" s="140" t="s">
        <v>3187</v>
      </c>
      <c r="F165" s="140" t="s">
        <v>3181</v>
      </c>
      <c r="G165" s="140" t="s">
        <v>3184</v>
      </c>
      <c r="H165" s="140" t="s">
        <v>3185</v>
      </c>
      <c r="I165" s="140" t="s">
        <v>3186</v>
      </c>
      <c r="J165" s="140" t="s">
        <v>3189</v>
      </c>
      <c r="K165" s="141" t="s">
        <v>3191</v>
      </c>
    </row>
    <row r="166" customFormat="false" ht="15" hidden="false" customHeight="false" outlineLevel="0" collapsed="false">
      <c r="B166" s="139" t="n">
        <v>161</v>
      </c>
      <c r="C166" s="140" t="s">
        <v>3363</v>
      </c>
      <c r="D166" s="140" t="s">
        <v>3182</v>
      </c>
      <c r="E166" s="140" t="s">
        <v>3187</v>
      </c>
      <c r="F166" s="140" t="s">
        <v>3181</v>
      </c>
      <c r="G166" s="140" t="s">
        <v>3184</v>
      </c>
      <c r="H166" s="140" t="s">
        <v>3190</v>
      </c>
      <c r="I166" s="140" t="s">
        <v>3186</v>
      </c>
      <c r="J166" s="140" t="s">
        <v>3185</v>
      </c>
      <c r="K166" s="141" t="s">
        <v>3189</v>
      </c>
    </row>
    <row r="167" customFormat="false" ht="15" hidden="false" customHeight="false" outlineLevel="0" collapsed="false">
      <c r="B167" s="139" t="n">
        <v>162</v>
      </c>
      <c r="C167" s="140" t="s">
        <v>3364</v>
      </c>
      <c r="D167" s="140" t="s">
        <v>3182</v>
      </c>
      <c r="E167" s="140" t="s">
        <v>3187</v>
      </c>
      <c r="F167" s="140" t="s">
        <v>3181</v>
      </c>
      <c r="G167" s="140" t="s">
        <v>3184</v>
      </c>
      <c r="H167" s="140" t="s">
        <v>3188</v>
      </c>
      <c r="I167" s="140" t="s">
        <v>3186</v>
      </c>
      <c r="J167" s="140" t="s">
        <v>3192</v>
      </c>
      <c r="K167" s="141" t="s">
        <v>3185</v>
      </c>
    </row>
    <row r="168" customFormat="false" ht="15" hidden="false" customHeight="false" outlineLevel="0" collapsed="false">
      <c r="B168" s="139" t="n">
        <v>163</v>
      </c>
      <c r="C168" s="140" t="s">
        <v>3365</v>
      </c>
      <c r="D168" s="140" t="s">
        <v>3182</v>
      </c>
      <c r="E168" s="140" t="s">
        <v>3187</v>
      </c>
      <c r="F168" s="140" t="s">
        <v>3181</v>
      </c>
      <c r="G168" s="140" t="s">
        <v>3184</v>
      </c>
      <c r="H168" s="140" t="s">
        <v>3188</v>
      </c>
      <c r="I168" s="140" t="s">
        <v>3186</v>
      </c>
      <c r="J168" s="140" t="s">
        <v>3185</v>
      </c>
      <c r="K168" s="141" t="s">
        <v>3191</v>
      </c>
    </row>
    <row r="169" customFormat="false" ht="15" hidden="false" customHeight="false" outlineLevel="0" collapsed="false">
      <c r="B169" s="139" t="n">
        <v>164</v>
      </c>
      <c r="C169" s="140" t="s">
        <v>3366</v>
      </c>
      <c r="D169" s="140" t="s">
        <v>3188</v>
      </c>
      <c r="E169" s="140" t="s">
        <v>3187</v>
      </c>
      <c r="F169" s="140" t="s">
        <v>3181</v>
      </c>
      <c r="G169" s="140" t="s">
        <v>3182</v>
      </c>
      <c r="H169" s="140" t="s">
        <v>3190</v>
      </c>
      <c r="I169" s="140" t="s">
        <v>3186</v>
      </c>
      <c r="J169" s="140" t="s">
        <v>3184</v>
      </c>
      <c r="K169" s="141" t="s">
        <v>3185</v>
      </c>
    </row>
    <row r="170" customFormat="false" ht="15" hidden="false" customHeight="false" outlineLevel="0" collapsed="false">
      <c r="B170" s="139" t="n">
        <v>165</v>
      </c>
      <c r="C170" s="140" t="s">
        <v>3367</v>
      </c>
      <c r="D170" s="140" t="s">
        <v>3182</v>
      </c>
      <c r="E170" s="140" t="s">
        <v>3187</v>
      </c>
      <c r="F170" s="140" t="s">
        <v>3181</v>
      </c>
      <c r="G170" s="140" t="s">
        <v>3184</v>
      </c>
      <c r="H170" s="140" t="s">
        <v>3188</v>
      </c>
      <c r="I170" s="140" t="s">
        <v>3186</v>
      </c>
      <c r="J170" s="140" t="s">
        <v>3185</v>
      </c>
      <c r="K170" s="141" t="s">
        <v>3189</v>
      </c>
    </row>
    <row r="171" customFormat="false" ht="15" hidden="false" customHeight="false" outlineLevel="0" collapsed="false">
      <c r="B171" s="139" t="n">
        <v>166</v>
      </c>
      <c r="C171" s="140" t="s">
        <v>3368</v>
      </c>
      <c r="D171" s="140" t="s">
        <v>3188</v>
      </c>
      <c r="E171" s="140" t="s">
        <v>3190</v>
      </c>
      <c r="F171" s="140" t="s">
        <v>3189</v>
      </c>
      <c r="G171" s="140" t="s">
        <v>3186</v>
      </c>
      <c r="H171" s="140" t="s">
        <v>3180</v>
      </c>
      <c r="I171" s="140" t="s">
        <v>3187</v>
      </c>
      <c r="J171" s="140" t="s">
        <v>3192</v>
      </c>
      <c r="K171" s="141" t="s">
        <v>3191</v>
      </c>
    </row>
    <row r="172" customFormat="false" ht="15" hidden="false" customHeight="false" outlineLevel="0" collapsed="false">
      <c r="B172" s="139" t="n">
        <v>167</v>
      </c>
      <c r="C172" s="140" t="s">
        <v>3369</v>
      </c>
      <c r="D172" s="140" t="s">
        <v>3185</v>
      </c>
      <c r="E172" s="140" t="s">
        <v>3190</v>
      </c>
      <c r="F172" s="140" t="s">
        <v>3189</v>
      </c>
      <c r="G172" s="140" t="s">
        <v>3180</v>
      </c>
      <c r="H172" s="140" t="s">
        <v>3188</v>
      </c>
      <c r="I172" s="140" t="s">
        <v>3187</v>
      </c>
      <c r="J172" s="140" t="s">
        <v>3192</v>
      </c>
      <c r="K172" s="141" t="s">
        <v>3191</v>
      </c>
    </row>
    <row r="173" customFormat="false" ht="15" hidden="false" customHeight="false" outlineLevel="0" collapsed="false">
      <c r="B173" s="139" t="n">
        <v>168</v>
      </c>
      <c r="C173" s="140" t="s">
        <v>3370</v>
      </c>
      <c r="D173" s="140" t="s">
        <v>3185</v>
      </c>
      <c r="E173" s="140" t="s">
        <v>3190</v>
      </c>
      <c r="F173" s="140" t="s">
        <v>3189</v>
      </c>
      <c r="G173" s="140" t="s">
        <v>3186</v>
      </c>
      <c r="H173" s="140" t="s">
        <v>3180</v>
      </c>
      <c r="I173" s="140" t="s">
        <v>3188</v>
      </c>
      <c r="J173" s="140" t="s">
        <v>3192</v>
      </c>
      <c r="K173" s="141" t="s">
        <v>3191</v>
      </c>
    </row>
    <row r="174" customFormat="false" ht="15" hidden="false" customHeight="false" outlineLevel="0" collapsed="false">
      <c r="B174" s="139" t="n">
        <v>169</v>
      </c>
      <c r="C174" s="140" t="s">
        <v>3371</v>
      </c>
      <c r="D174" s="140" t="s">
        <v>3185</v>
      </c>
      <c r="E174" s="140" t="s">
        <v>3190</v>
      </c>
      <c r="F174" s="140" t="s">
        <v>3189</v>
      </c>
      <c r="G174" s="140" t="s">
        <v>3186</v>
      </c>
      <c r="H174" s="140" t="s">
        <v>3180</v>
      </c>
      <c r="I174" s="140" t="s">
        <v>3187</v>
      </c>
      <c r="J174" s="140" t="s">
        <v>3192</v>
      </c>
      <c r="K174" s="141" t="s">
        <v>3191</v>
      </c>
    </row>
    <row r="175" customFormat="false" ht="15" hidden="false" customHeight="false" outlineLevel="0" collapsed="false">
      <c r="B175" s="139" t="n">
        <v>170</v>
      </c>
      <c r="C175" s="140" t="s">
        <v>3372</v>
      </c>
      <c r="D175" s="140" t="s">
        <v>3185</v>
      </c>
      <c r="E175" s="140" t="s">
        <v>3187</v>
      </c>
      <c r="F175" s="140" t="s">
        <v>3190</v>
      </c>
      <c r="G175" s="140" t="s">
        <v>3186</v>
      </c>
      <c r="H175" s="140" t="s">
        <v>3180</v>
      </c>
      <c r="I175" s="140" t="s">
        <v>3188</v>
      </c>
      <c r="J175" s="140" t="s">
        <v>3192</v>
      </c>
      <c r="K175" s="141" t="s">
        <v>3191</v>
      </c>
    </row>
    <row r="176" customFormat="false" ht="15" hidden="false" customHeight="false" outlineLevel="0" collapsed="false">
      <c r="B176" s="139" t="n">
        <v>171</v>
      </c>
      <c r="C176" s="140" t="s">
        <v>3373</v>
      </c>
      <c r="D176" s="140" t="s">
        <v>3185</v>
      </c>
      <c r="E176" s="140" t="s">
        <v>3187</v>
      </c>
      <c r="F176" s="140" t="s">
        <v>3189</v>
      </c>
      <c r="G176" s="140" t="s">
        <v>3186</v>
      </c>
      <c r="H176" s="140" t="s">
        <v>3180</v>
      </c>
      <c r="I176" s="140" t="s">
        <v>3188</v>
      </c>
      <c r="J176" s="140" t="s">
        <v>3192</v>
      </c>
      <c r="K176" s="141" t="s">
        <v>3191</v>
      </c>
    </row>
    <row r="177" customFormat="false" ht="15" hidden="false" customHeight="false" outlineLevel="0" collapsed="false">
      <c r="B177" s="139" t="n">
        <v>172</v>
      </c>
      <c r="C177" s="140" t="s">
        <v>3374</v>
      </c>
      <c r="D177" s="140" t="s">
        <v>3185</v>
      </c>
      <c r="E177" s="140" t="s">
        <v>3187</v>
      </c>
      <c r="F177" s="140" t="s">
        <v>3190</v>
      </c>
      <c r="G177" s="140" t="s">
        <v>3186</v>
      </c>
      <c r="H177" s="140" t="s">
        <v>3180</v>
      </c>
      <c r="I177" s="140" t="s">
        <v>3188</v>
      </c>
      <c r="J177" s="140" t="s">
        <v>3192</v>
      </c>
      <c r="K177" s="141" t="s">
        <v>3189</v>
      </c>
    </row>
    <row r="178" customFormat="false" ht="15" hidden="false" customHeight="false" outlineLevel="0" collapsed="false">
      <c r="B178" s="139" t="n">
        <v>173</v>
      </c>
      <c r="C178" s="140" t="s">
        <v>3375</v>
      </c>
      <c r="D178" s="140" t="s">
        <v>3185</v>
      </c>
      <c r="E178" s="140" t="s">
        <v>3187</v>
      </c>
      <c r="F178" s="140" t="s">
        <v>3190</v>
      </c>
      <c r="G178" s="140" t="s">
        <v>3186</v>
      </c>
      <c r="H178" s="140" t="s">
        <v>3180</v>
      </c>
      <c r="I178" s="140" t="s">
        <v>3188</v>
      </c>
      <c r="J178" s="140" t="s">
        <v>3189</v>
      </c>
      <c r="K178" s="141" t="s">
        <v>3191</v>
      </c>
    </row>
    <row r="179" customFormat="false" ht="15" hidden="false" customHeight="false" outlineLevel="0" collapsed="false">
      <c r="B179" s="139" t="n">
        <v>174</v>
      </c>
      <c r="C179" s="140" t="s">
        <v>3376</v>
      </c>
      <c r="D179" s="140" t="s">
        <v>3188</v>
      </c>
      <c r="E179" s="140" t="s">
        <v>3190</v>
      </c>
      <c r="F179" s="140" t="s">
        <v>3189</v>
      </c>
      <c r="G179" s="140" t="s">
        <v>3184</v>
      </c>
      <c r="H179" s="140" t="s">
        <v>3180</v>
      </c>
      <c r="I179" s="140" t="s">
        <v>3187</v>
      </c>
      <c r="J179" s="140" t="s">
        <v>3192</v>
      </c>
      <c r="K179" s="141" t="s">
        <v>3191</v>
      </c>
    </row>
    <row r="180" customFormat="false" ht="15" hidden="false" customHeight="false" outlineLevel="0" collapsed="false">
      <c r="B180" s="139" t="n">
        <v>175</v>
      </c>
      <c r="C180" s="140" t="s">
        <v>3377</v>
      </c>
      <c r="D180" s="140" t="s">
        <v>3188</v>
      </c>
      <c r="E180" s="140" t="s">
        <v>3190</v>
      </c>
      <c r="F180" s="140" t="s">
        <v>3189</v>
      </c>
      <c r="G180" s="140" t="s">
        <v>3184</v>
      </c>
      <c r="H180" s="140" t="s">
        <v>3180</v>
      </c>
      <c r="I180" s="140" t="s">
        <v>3186</v>
      </c>
      <c r="J180" s="140" t="s">
        <v>3192</v>
      </c>
      <c r="K180" s="141" t="s">
        <v>3191</v>
      </c>
    </row>
    <row r="181" customFormat="false" ht="15" hidden="false" customHeight="false" outlineLevel="0" collapsed="false">
      <c r="B181" s="139" t="n">
        <v>176</v>
      </c>
      <c r="C181" s="140" t="s">
        <v>3378</v>
      </c>
      <c r="D181" s="140" t="s">
        <v>3189</v>
      </c>
      <c r="E181" s="140" t="s">
        <v>3187</v>
      </c>
      <c r="F181" s="140" t="s">
        <v>3190</v>
      </c>
      <c r="G181" s="140" t="s">
        <v>3184</v>
      </c>
      <c r="H181" s="140" t="s">
        <v>3180</v>
      </c>
      <c r="I181" s="140" t="s">
        <v>3186</v>
      </c>
      <c r="J181" s="140" t="s">
        <v>3192</v>
      </c>
      <c r="K181" s="141" t="s">
        <v>3191</v>
      </c>
    </row>
    <row r="182" customFormat="false" ht="15" hidden="false" customHeight="false" outlineLevel="0" collapsed="false">
      <c r="B182" s="139" t="n">
        <v>177</v>
      </c>
      <c r="C182" s="140" t="s">
        <v>3379</v>
      </c>
      <c r="D182" s="140" t="s">
        <v>3188</v>
      </c>
      <c r="E182" s="140" t="s">
        <v>3187</v>
      </c>
      <c r="F182" s="140" t="s">
        <v>3190</v>
      </c>
      <c r="G182" s="140" t="s">
        <v>3184</v>
      </c>
      <c r="H182" s="140" t="s">
        <v>3180</v>
      </c>
      <c r="I182" s="140" t="s">
        <v>3186</v>
      </c>
      <c r="J182" s="140" t="s">
        <v>3192</v>
      </c>
      <c r="K182" s="141" t="s">
        <v>3191</v>
      </c>
    </row>
    <row r="183" customFormat="false" ht="15" hidden="false" customHeight="false" outlineLevel="0" collapsed="false">
      <c r="B183" s="139" t="n">
        <v>178</v>
      </c>
      <c r="C183" s="140" t="s">
        <v>3380</v>
      </c>
      <c r="D183" s="140" t="s">
        <v>3188</v>
      </c>
      <c r="E183" s="140" t="s">
        <v>3187</v>
      </c>
      <c r="F183" s="140" t="s">
        <v>3189</v>
      </c>
      <c r="G183" s="140" t="s">
        <v>3184</v>
      </c>
      <c r="H183" s="140" t="s">
        <v>3180</v>
      </c>
      <c r="I183" s="140" t="s">
        <v>3186</v>
      </c>
      <c r="J183" s="140" t="s">
        <v>3192</v>
      </c>
      <c r="K183" s="141" t="s">
        <v>3191</v>
      </c>
    </row>
    <row r="184" customFormat="false" ht="15" hidden="false" customHeight="false" outlineLevel="0" collapsed="false">
      <c r="B184" s="139" t="n">
        <v>179</v>
      </c>
      <c r="C184" s="140" t="s">
        <v>3381</v>
      </c>
      <c r="D184" s="140" t="s">
        <v>3188</v>
      </c>
      <c r="E184" s="140" t="s">
        <v>3187</v>
      </c>
      <c r="F184" s="140" t="s">
        <v>3190</v>
      </c>
      <c r="G184" s="140" t="s">
        <v>3184</v>
      </c>
      <c r="H184" s="140" t="s">
        <v>3180</v>
      </c>
      <c r="I184" s="140" t="s">
        <v>3186</v>
      </c>
      <c r="J184" s="140" t="s">
        <v>3192</v>
      </c>
      <c r="K184" s="141" t="s">
        <v>3189</v>
      </c>
    </row>
    <row r="185" customFormat="false" ht="15" hidden="false" customHeight="false" outlineLevel="0" collapsed="false">
      <c r="B185" s="139" t="n">
        <v>180</v>
      </c>
      <c r="C185" s="140" t="s">
        <v>3382</v>
      </c>
      <c r="D185" s="140" t="s">
        <v>3188</v>
      </c>
      <c r="E185" s="140" t="s">
        <v>3187</v>
      </c>
      <c r="F185" s="140" t="s">
        <v>3190</v>
      </c>
      <c r="G185" s="140" t="s">
        <v>3184</v>
      </c>
      <c r="H185" s="140" t="s">
        <v>3180</v>
      </c>
      <c r="I185" s="140" t="s">
        <v>3186</v>
      </c>
      <c r="J185" s="140" t="s">
        <v>3189</v>
      </c>
      <c r="K185" s="141" t="s">
        <v>3191</v>
      </c>
    </row>
    <row r="186" customFormat="false" ht="15" hidden="false" customHeight="false" outlineLevel="0" collapsed="false">
      <c r="B186" s="139" t="n">
        <v>181</v>
      </c>
      <c r="C186" s="140" t="s">
        <v>3383</v>
      </c>
      <c r="D186" s="140" t="s">
        <v>3185</v>
      </c>
      <c r="E186" s="140" t="s">
        <v>3190</v>
      </c>
      <c r="F186" s="140" t="s">
        <v>3189</v>
      </c>
      <c r="G186" s="140" t="s">
        <v>3184</v>
      </c>
      <c r="H186" s="140" t="s">
        <v>3180</v>
      </c>
      <c r="I186" s="140" t="s">
        <v>3188</v>
      </c>
      <c r="J186" s="140" t="s">
        <v>3192</v>
      </c>
      <c r="K186" s="141" t="s">
        <v>3191</v>
      </c>
    </row>
    <row r="187" customFormat="false" ht="15" hidden="false" customHeight="false" outlineLevel="0" collapsed="false">
      <c r="B187" s="139" t="n">
        <v>182</v>
      </c>
      <c r="C187" s="140" t="s">
        <v>3384</v>
      </c>
      <c r="D187" s="140" t="s">
        <v>3185</v>
      </c>
      <c r="E187" s="140" t="s">
        <v>3190</v>
      </c>
      <c r="F187" s="140" t="s">
        <v>3189</v>
      </c>
      <c r="G187" s="140" t="s">
        <v>3184</v>
      </c>
      <c r="H187" s="140" t="s">
        <v>3180</v>
      </c>
      <c r="I187" s="140" t="s">
        <v>3187</v>
      </c>
      <c r="J187" s="140" t="s">
        <v>3192</v>
      </c>
      <c r="K187" s="141" t="s">
        <v>3191</v>
      </c>
    </row>
    <row r="188" customFormat="false" ht="15" hidden="false" customHeight="false" outlineLevel="0" collapsed="false">
      <c r="B188" s="139" t="n">
        <v>183</v>
      </c>
      <c r="C188" s="140" t="s">
        <v>3385</v>
      </c>
      <c r="D188" s="140" t="s">
        <v>3185</v>
      </c>
      <c r="E188" s="140" t="s">
        <v>3187</v>
      </c>
      <c r="F188" s="140" t="s">
        <v>3190</v>
      </c>
      <c r="G188" s="140" t="s">
        <v>3184</v>
      </c>
      <c r="H188" s="140" t="s">
        <v>3180</v>
      </c>
      <c r="I188" s="140" t="s">
        <v>3188</v>
      </c>
      <c r="J188" s="140" t="s">
        <v>3192</v>
      </c>
      <c r="K188" s="141" t="s">
        <v>3191</v>
      </c>
    </row>
    <row r="189" customFormat="false" ht="15" hidden="false" customHeight="false" outlineLevel="0" collapsed="false">
      <c r="B189" s="139" t="n">
        <v>184</v>
      </c>
      <c r="C189" s="140" t="s">
        <v>3386</v>
      </c>
      <c r="D189" s="140" t="s">
        <v>3185</v>
      </c>
      <c r="E189" s="140" t="s">
        <v>3187</v>
      </c>
      <c r="F189" s="140" t="s">
        <v>3189</v>
      </c>
      <c r="G189" s="140" t="s">
        <v>3184</v>
      </c>
      <c r="H189" s="140" t="s">
        <v>3180</v>
      </c>
      <c r="I189" s="140" t="s">
        <v>3188</v>
      </c>
      <c r="J189" s="140" t="s">
        <v>3192</v>
      </c>
      <c r="K189" s="141" t="s">
        <v>3191</v>
      </c>
    </row>
    <row r="190" customFormat="false" ht="15" hidden="false" customHeight="false" outlineLevel="0" collapsed="false">
      <c r="B190" s="139" t="n">
        <v>185</v>
      </c>
      <c r="C190" s="140" t="s">
        <v>3387</v>
      </c>
      <c r="D190" s="140" t="s">
        <v>3185</v>
      </c>
      <c r="E190" s="140" t="s">
        <v>3187</v>
      </c>
      <c r="F190" s="140" t="s">
        <v>3190</v>
      </c>
      <c r="G190" s="140" t="s">
        <v>3184</v>
      </c>
      <c r="H190" s="140" t="s">
        <v>3180</v>
      </c>
      <c r="I190" s="140" t="s">
        <v>3188</v>
      </c>
      <c r="J190" s="140" t="s">
        <v>3192</v>
      </c>
      <c r="K190" s="141" t="s">
        <v>3189</v>
      </c>
    </row>
    <row r="191" customFormat="false" ht="15" hidden="false" customHeight="false" outlineLevel="0" collapsed="false">
      <c r="B191" s="139" t="n">
        <v>186</v>
      </c>
      <c r="C191" s="140" t="s">
        <v>3388</v>
      </c>
      <c r="D191" s="140" t="s">
        <v>3185</v>
      </c>
      <c r="E191" s="140" t="s">
        <v>3187</v>
      </c>
      <c r="F191" s="140" t="s">
        <v>3190</v>
      </c>
      <c r="G191" s="140" t="s">
        <v>3184</v>
      </c>
      <c r="H191" s="140" t="s">
        <v>3180</v>
      </c>
      <c r="I191" s="140" t="s">
        <v>3188</v>
      </c>
      <c r="J191" s="140" t="s">
        <v>3189</v>
      </c>
      <c r="K191" s="141" t="s">
        <v>3191</v>
      </c>
    </row>
    <row r="192" customFormat="false" ht="15" hidden="false" customHeight="false" outlineLevel="0" collapsed="false">
      <c r="B192" s="139" t="n">
        <v>187</v>
      </c>
      <c r="C192" s="140" t="s">
        <v>3389</v>
      </c>
      <c r="D192" s="140" t="s">
        <v>3185</v>
      </c>
      <c r="E192" s="140" t="s">
        <v>3190</v>
      </c>
      <c r="F192" s="140" t="s">
        <v>3189</v>
      </c>
      <c r="G192" s="140" t="s">
        <v>3184</v>
      </c>
      <c r="H192" s="140" t="s">
        <v>3180</v>
      </c>
      <c r="I192" s="140" t="s">
        <v>3186</v>
      </c>
      <c r="J192" s="140" t="s">
        <v>3192</v>
      </c>
      <c r="K192" s="141" t="s">
        <v>3191</v>
      </c>
    </row>
    <row r="193" customFormat="false" ht="15" hidden="false" customHeight="false" outlineLevel="0" collapsed="false">
      <c r="B193" s="139" t="n">
        <v>188</v>
      </c>
      <c r="C193" s="140" t="s">
        <v>3390</v>
      </c>
      <c r="D193" s="140" t="s">
        <v>3188</v>
      </c>
      <c r="E193" s="140" t="s">
        <v>3190</v>
      </c>
      <c r="F193" s="140" t="s">
        <v>3185</v>
      </c>
      <c r="G193" s="140" t="s">
        <v>3184</v>
      </c>
      <c r="H193" s="140" t="s">
        <v>3180</v>
      </c>
      <c r="I193" s="140" t="s">
        <v>3186</v>
      </c>
      <c r="J193" s="140" t="s">
        <v>3192</v>
      </c>
      <c r="K193" s="141" t="s">
        <v>3191</v>
      </c>
    </row>
    <row r="194" customFormat="false" ht="15" hidden="false" customHeight="false" outlineLevel="0" collapsed="false">
      <c r="B194" s="139" t="n">
        <v>189</v>
      </c>
      <c r="C194" s="140" t="s">
        <v>3391</v>
      </c>
      <c r="D194" s="140" t="s">
        <v>3188</v>
      </c>
      <c r="E194" s="140" t="s">
        <v>3185</v>
      </c>
      <c r="F194" s="140" t="s">
        <v>3189</v>
      </c>
      <c r="G194" s="140" t="s">
        <v>3184</v>
      </c>
      <c r="H194" s="140" t="s">
        <v>3180</v>
      </c>
      <c r="I194" s="140" t="s">
        <v>3186</v>
      </c>
      <c r="J194" s="140" t="s">
        <v>3192</v>
      </c>
      <c r="K194" s="141" t="s">
        <v>3191</v>
      </c>
    </row>
    <row r="195" customFormat="false" ht="15" hidden="false" customHeight="false" outlineLevel="0" collapsed="false">
      <c r="B195" s="139" t="n">
        <v>190</v>
      </c>
      <c r="C195" s="140" t="s">
        <v>3392</v>
      </c>
      <c r="D195" s="140" t="s">
        <v>3188</v>
      </c>
      <c r="E195" s="140" t="s">
        <v>3190</v>
      </c>
      <c r="F195" s="140" t="s">
        <v>3185</v>
      </c>
      <c r="G195" s="140" t="s">
        <v>3184</v>
      </c>
      <c r="H195" s="140" t="s">
        <v>3180</v>
      </c>
      <c r="I195" s="140" t="s">
        <v>3186</v>
      </c>
      <c r="J195" s="140" t="s">
        <v>3192</v>
      </c>
      <c r="K195" s="141" t="s">
        <v>3189</v>
      </c>
    </row>
    <row r="196" customFormat="false" ht="15" hidden="false" customHeight="false" outlineLevel="0" collapsed="false">
      <c r="B196" s="139" t="n">
        <v>191</v>
      </c>
      <c r="C196" s="140" t="s">
        <v>3393</v>
      </c>
      <c r="D196" s="140" t="s">
        <v>3188</v>
      </c>
      <c r="E196" s="140" t="s">
        <v>3190</v>
      </c>
      <c r="F196" s="140" t="s">
        <v>3185</v>
      </c>
      <c r="G196" s="140" t="s">
        <v>3184</v>
      </c>
      <c r="H196" s="140" t="s">
        <v>3180</v>
      </c>
      <c r="I196" s="140" t="s">
        <v>3186</v>
      </c>
      <c r="J196" s="140" t="s">
        <v>3189</v>
      </c>
      <c r="K196" s="141" t="s">
        <v>3191</v>
      </c>
    </row>
    <row r="197" customFormat="false" ht="15" hidden="false" customHeight="false" outlineLevel="0" collapsed="false">
      <c r="B197" s="139" t="n">
        <v>192</v>
      </c>
      <c r="C197" s="140" t="s">
        <v>3394</v>
      </c>
      <c r="D197" s="140" t="s">
        <v>3185</v>
      </c>
      <c r="E197" s="140" t="s">
        <v>3187</v>
      </c>
      <c r="F197" s="140" t="s">
        <v>3190</v>
      </c>
      <c r="G197" s="140" t="s">
        <v>3184</v>
      </c>
      <c r="H197" s="140" t="s">
        <v>3180</v>
      </c>
      <c r="I197" s="140" t="s">
        <v>3186</v>
      </c>
      <c r="J197" s="140" t="s">
        <v>3192</v>
      </c>
      <c r="K197" s="141" t="s">
        <v>3191</v>
      </c>
    </row>
    <row r="198" customFormat="false" ht="15" hidden="false" customHeight="false" outlineLevel="0" collapsed="false">
      <c r="B198" s="139" t="n">
        <v>193</v>
      </c>
      <c r="C198" s="140" t="s">
        <v>3395</v>
      </c>
      <c r="D198" s="140" t="s">
        <v>3185</v>
      </c>
      <c r="E198" s="140" t="s">
        <v>3187</v>
      </c>
      <c r="F198" s="140" t="s">
        <v>3189</v>
      </c>
      <c r="G198" s="140" t="s">
        <v>3184</v>
      </c>
      <c r="H198" s="140" t="s">
        <v>3180</v>
      </c>
      <c r="I198" s="140" t="s">
        <v>3186</v>
      </c>
      <c r="J198" s="140" t="s">
        <v>3192</v>
      </c>
      <c r="K198" s="141" t="s">
        <v>3191</v>
      </c>
    </row>
    <row r="199" customFormat="false" ht="15" hidden="false" customHeight="false" outlineLevel="0" collapsed="false">
      <c r="B199" s="139" t="n">
        <v>194</v>
      </c>
      <c r="C199" s="140" t="s">
        <v>3396</v>
      </c>
      <c r="D199" s="140" t="s">
        <v>3185</v>
      </c>
      <c r="E199" s="140" t="s">
        <v>3187</v>
      </c>
      <c r="F199" s="140" t="s">
        <v>3190</v>
      </c>
      <c r="G199" s="140" t="s">
        <v>3184</v>
      </c>
      <c r="H199" s="140" t="s">
        <v>3180</v>
      </c>
      <c r="I199" s="140" t="s">
        <v>3186</v>
      </c>
      <c r="J199" s="140" t="s">
        <v>3192</v>
      </c>
      <c r="K199" s="141" t="s">
        <v>3189</v>
      </c>
    </row>
    <row r="200" customFormat="false" ht="15" hidden="false" customHeight="false" outlineLevel="0" collapsed="false">
      <c r="B200" s="139" t="n">
        <v>195</v>
      </c>
      <c r="C200" s="140" t="s">
        <v>3397</v>
      </c>
      <c r="D200" s="140" t="s">
        <v>3185</v>
      </c>
      <c r="E200" s="140" t="s">
        <v>3187</v>
      </c>
      <c r="F200" s="140" t="s">
        <v>3190</v>
      </c>
      <c r="G200" s="140" t="s">
        <v>3184</v>
      </c>
      <c r="H200" s="140" t="s">
        <v>3180</v>
      </c>
      <c r="I200" s="140" t="s">
        <v>3186</v>
      </c>
      <c r="J200" s="140" t="s">
        <v>3189</v>
      </c>
      <c r="K200" s="141" t="s">
        <v>3191</v>
      </c>
    </row>
    <row r="201" customFormat="false" ht="15" hidden="false" customHeight="false" outlineLevel="0" collapsed="false">
      <c r="B201" s="139" t="n">
        <v>196</v>
      </c>
      <c r="C201" s="140" t="s">
        <v>3398</v>
      </c>
      <c r="D201" s="140" t="s">
        <v>3188</v>
      </c>
      <c r="E201" s="140" t="s">
        <v>3187</v>
      </c>
      <c r="F201" s="140" t="s">
        <v>3185</v>
      </c>
      <c r="G201" s="140" t="s">
        <v>3184</v>
      </c>
      <c r="H201" s="140" t="s">
        <v>3180</v>
      </c>
      <c r="I201" s="140" t="s">
        <v>3186</v>
      </c>
      <c r="J201" s="140" t="s">
        <v>3192</v>
      </c>
      <c r="K201" s="141" t="s">
        <v>3191</v>
      </c>
    </row>
    <row r="202" customFormat="false" ht="15" hidden="false" customHeight="false" outlineLevel="0" collapsed="false">
      <c r="B202" s="139" t="n">
        <v>197</v>
      </c>
      <c r="C202" s="140" t="s">
        <v>3399</v>
      </c>
      <c r="D202" s="140" t="s">
        <v>3188</v>
      </c>
      <c r="E202" s="140" t="s">
        <v>3187</v>
      </c>
      <c r="F202" s="140" t="s">
        <v>3190</v>
      </c>
      <c r="G202" s="140" t="s">
        <v>3184</v>
      </c>
      <c r="H202" s="140" t="s">
        <v>3180</v>
      </c>
      <c r="I202" s="140" t="s">
        <v>3186</v>
      </c>
      <c r="J202" s="140" t="s">
        <v>3192</v>
      </c>
      <c r="K202" s="141" t="s">
        <v>3185</v>
      </c>
    </row>
    <row r="203" customFormat="false" ht="15" hidden="false" customHeight="false" outlineLevel="0" collapsed="false">
      <c r="B203" s="139" t="n">
        <v>198</v>
      </c>
      <c r="C203" s="140" t="s">
        <v>3400</v>
      </c>
      <c r="D203" s="140" t="s">
        <v>3188</v>
      </c>
      <c r="E203" s="140" t="s">
        <v>3187</v>
      </c>
      <c r="F203" s="140" t="s">
        <v>3190</v>
      </c>
      <c r="G203" s="140" t="s">
        <v>3184</v>
      </c>
      <c r="H203" s="140" t="s">
        <v>3180</v>
      </c>
      <c r="I203" s="140" t="s">
        <v>3186</v>
      </c>
      <c r="J203" s="140" t="s">
        <v>3185</v>
      </c>
      <c r="K203" s="141" t="s">
        <v>3191</v>
      </c>
    </row>
    <row r="204" customFormat="false" ht="15" hidden="false" customHeight="false" outlineLevel="0" collapsed="false">
      <c r="B204" s="139" t="n">
        <v>199</v>
      </c>
      <c r="C204" s="140" t="s">
        <v>3401</v>
      </c>
      <c r="D204" s="140" t="s">
        <v>3188</v>
      </c>
      <c r="E204" s="140" t="s">
        <v>3187</v>
      </c>
      <c r="F204" s="140" t="s">
        <v>3185</v>
      </c>
      <c r="G204" s="140" t="s">
        <v>3184</v>
      </c>
      <c r="H204" s="140" t="s">
        <v>3180</v>
      </c>
      <c r="I204" s="140" t="s">
        <v>3186</v>
      </c>
      <c r="J204" s="140" t="s">
        <v>3192</v>
      </c>
      <c r="K204" s="141" t="s">
        <v>3189</v>
      </c>
    </row>
    <row r="205" customFormat="false" ht="15" hidden="false" customHeight="false" outlineLevel="0" collapsed="false">
      <c r="B205" s="139" t="n">
        <v>200</v>
      </c>
      <c r="C205" s="140" t="s">
        <v>3402</v>
      </c>
      <c r="D205" s="140" t="s">
        <v>3188</v>
      </c>
      <c r="E205" s="140" t="s">
        <v>3187</v>
      </c>
      <c r="F205" s="140" t="s">
        <v>3185</v>
      </c>
      <c r="G205" s="140" t="s">
        <v>3184</v>
      </c>
      <c r="H205" s="140" t="s">
        <v>3180</v>
      </c>
      <c r="I205" s="140" t="s">
        <v>3186</v>
      </c>
      <c r="J205" s="140" t="s">
        <v>3189</v>
      </c>
      <c r="K205" s="141" t="s">
        <v>3191</v>
      </c>
    </row>
    <row r="206" customFormat="false" ht="15" hidden="false" customHeight="false" outlineLevel="0" collapsed="false">
      <c r="B206" s="139" t="n">
        <v>201</v>
      </c>
      <c r="C206" s="140" t="s">
        <v>3403</v>
      </c>
      <c r="D206" s="140" t="s">
        <v>3188</v>
      </c>
      <c r="E206" s="140" t="s">
        <v>3187</v>
      </c>
      <c r="F206" s="140" t="s">
        <v>3190</v>
      </c>
      <c r="G206" s="140" t="s">
        <v>3184</v>
      </c>
      <c r="H206" s="140" t="s">
        <v>3180</v>
      </c>
      <c r="I206" s="140" t="s">
        <v>3186</v>
      </c>
      <c r="J206" s="140" t="s">
        <v>3185</v>
      </c>
      <c r="K206" s="141" t="s">
        <v>3189</v>
      </c>
    </row>
    <row r="207" customFormat="false" ht="15" hidden="false" customHeight="false" outlineLevel="0" collapsed="false">
      <c r="B207" s="139" t="n">
        <v>202</v>
      </c>
      <c r="C207" s="140" t="s">
        <v>3404</v>
      </c>
      <c r="D207" s="140" t="s">
        <v>3188</v>
      </c>
      <c r="E207" s="140" t="s">
        <v>3190</v>
      </c>
      <c r="F207" s="140" t="s">
        <v>3189</v>
      </c>
      <c r="G207" s="140" t="s">
        <v>3182</v>
      </c>
      <c r="H207" s="140" t="s">
        <v>3180</v>
      </c>
      <c r="I207" s="140" t="s">
        <v>3187</v>
      </c>
      <c r="J207" s="140" t="s">
        <v>3192</v>
      </c>
      <c r="K207" s="141" t="s">
        <v>3191</v>
      </c>
    </row>
    <row r="208" customFormat="false" ht="15" hidden="false" customHeight="false" outlineLevel="0" collapsed="false">
      <c r="B208" s="139" t="n">
        <v>203</v>
      </c>
      <c r="C208" s="140" t="s">
        <v>3405</v>
      </c>
      <c r="D208" s="140" t="s">
        <v>3188</v>
      </c>
      <c r="E208" s="140" t="s">
        <v>3190</v>
      </c>
      <c r="F208" s="140" t="s">
        <v>3189</v>
      </c>
      <c r="G208" s="140" t="s">
        <v>3182</v>
      </c>
      <c r="H208" s="140" t="s">
        <v>3180</v>
      </c>
      <c r="I208" s="140" t="s">
        <v>3186</v>
      </c>
      <c r="J208" s="140" t="s">
        <v>3192</v>
      </c>
      <c r="K208" s="141" t="s">
        <v>3191</v>
      </c>
    </row>
    <row r="209" customFormat="false" ht="15" hidden="false" customHeight="false" outlineLevel="0" collapsed="false">
      <c r="B209" s="139" t="n">
        <v>204</v>
      </c>
      <c r="C209" s="140" t="s">
        <v>3406</v>
      </c>
      <c r="D209" s="140" t="s">
        <v>3189</v>
      </c>
      <c r="E209" s="140" t="s">
        <v>3187</v>
      </c>
      <c r="F209" s="140" t="s">
        <v>3190</v>
      </c>
      <c r="G209" s="140" t="s">
        <v>3182</v>
      </c>
      <c r="H209" s="140" t="s">
        <v>3180</v>
      </c>
      <c r="I209" s="140" t="s">
        <v>3186</v>
      </c>
      <c r="J209" s="140" t="s">
        <v>3192</v>
      </c>
      <c r="K209" s="141" t="s">
        <v>3191</v>
      </c>
    </row>
    <row r="210" customFormat="false" ht="15" hidden="false" customHeight="false" outlineLevel="0" collapsed="false">
      <c r="B210" s="139" t="n">
        <v>205</v>
      </c>
      <c r="C210" s="140" t="s">
        <v>3407</v>
      </c>
      <c r="D210" s="140" t="s">
        <v>3188</v>
      </c>
      <c r="E210" s="140" t="s">
        <v>3187</v>
      </c>
      <c r="F210" s="140" t="s">
        <v>3190</v>
      </c>
      <c r="G210" s="140" t="s">
        <v>3182</v>
      </c>
      <c r="H210" s="140" t="s">
        <v>3180</v>
      </c>
      <c r="I210" s="140" t="s">
        <v>3186</v>
      </c>
      <c r="J210" s="140" t="s">
        <v>3192</v>
      </c>
      <c r="K210" s="141" t="s">
        <v>3191</v>
      </c>
    </row>
    <row r="211" customFormat="false" ht="15" hidden="false" customHeight="false" outlineLevel="0" collapsed="false">
      <c r="B211" s="139" t="n">
        <v>206</v>
      </c>
      <c r="C211" s="140" t="s">
        <v>3408</v>
      </c>
      <c r="D211" s="140" t="s">
        <v>3188</v>
      </c>
      <c r="E211" s="140" t="s">
        <v>3187</v>
      </c>
      <c r="F211" s="140" t="s">
        <v>3189</v>
      </c>
      <c r="G211" s="140" t="s">
        <v>3182</v>
      </c>
      <c r="H211" s="140" t="s">
        <v>3180</v>
      </c>
      <c r="I211" s="140" t="s">
        <v>3186</v>
      </c>
      <c r="J211" s="140" t="s">
        <v>3192</v>
      </c>
      <c r="K211" s="141" t="s">
        <v>3191</v>
      </c>
    </row>
    <row r="212" customFormat="false" ht="15" hidden="false" customHeight="false" outlineLevel="0" collapsed="false">
      <c r="B212" s="139" t="n">
        <v>207</v>
      </c>
      <c r="C212" s="140" t="s">
        <v>3409</v>
      </c>
      <c r="D212" s="140" t="s">
        <v>3188</v>
      </c>
      <c r="E212" s="140" t="s">
        <v>3187</v>
      </c>
      <c r="F212" s="140" t="s">
        <v>3190</v>
      </c>
      <c r="G212" s="140" t="s">
        <v>3182</v>
      </c>
      <c r="H212" s="140" t="s">
        <v>3180</v>
      </c>
      <c r="I212" s="140" t="s">
        <v>3186</v>
      </c>
      <c r="J212" s="140" t="s">
        <v>3192</v>
      </c>
      <c r="K212" s="141" t="s">
        <v>3189</v>
      </c>
    </row>
    <row r="213" customFormat="false" ht="15" hidden="false" customHeight="false" outlineLevel="0" collapsed="false">
      <c r="B213" s="139" t="n">
        <v>208</v>
      </c>
      <c r="C213" s="140" t="s">
        <v>3410</v>
      </c>
      <c r="D213" s="140" t="s">
        <v>3188</v>
      </c>
      <c r="E213" s="140" t="s">
        <v>3187</v>
      </c>
      <c r="F213" s="140" t="s">
        <v>3190</v>
      </c>
      <c r="G213" s="140" t="s">
        <v>3182</v>
      </c>
      <c r="H213" s="140" t="s">
        <v>3180</v>
      </c>
      <c r="I213" s="140" t="s">
        <v>3186</v>
      </c>
      <c r="J213" s="140" t="s">
        <v>3189</v>
      </c>
      <c r="K213" s="141" t="s">
        <v>3191</v>
      </c>
    </row>
    <row r="214" customFormat="false" ht="15" hidden="false" customHeight="false" outlineLevel="0" collapsed="false">
      <c r="B214" s="139" t="n">
        <v>209</v>
      </c>
      <c r="C214" s="140" t="s">
        <v>3411</v>
      </c>
      <c r="D214" s="140" t="s">
        <v>3185</v>
      </c>
      <c r="E214" s="140" t="s">
        <v>3190</v>
      </c>
      <c r="F214" s="140" t="s">
        <v>3189</v>
      </c>
      <c r="G214" s="140" t="s">
        <v>3182</v>
      </c>
      <c r="H214" s="140" t="s">
        <v>3180</v>
      </c>
      <c r="I214" s="140" t="s">
        <v>3188</v>
      </c>
      <c r="J214" s="140" t="s">
        <v>3192</v>
      </c>
      <c r="K214" s="141" t="s">
        <v>3191</v>
      </c>
    </row>
    <row r="215" customFormat="false" ht="15" hidden="false" customHeight="false" outlineLevel="0" collapsed="false">
      <c r="B215" s="139" t="n">
        <v>210</v>
      </c>
      <c r="C215" s="140" t="s">
        <v>3412</v>
      </c>
      <c r="D215" s="140" t="s">
        <v>3185</v>
      </c>
      <c r="E215" s="140" t="s">
        <v>3190</v>
      </c>
      <c r="F215" s="140" t="s">
        <v>3189</v>
      </c>
      <c r="G215" s="140" t="s">
        <v>3182</v>
      </c>
      <c r="H215" s="140" t="s">
        <v>3180</v>
      </c>
      <c r="I215" s="140" t="s">
        <v>3187</v>
      </c>
      <c r="J215" s="140" t="s">
        <v>3192</v>
      </c>
      <c r="K215" s="141" t="s">
        <v>3191</v>
      </c>
    </row>
    <row r="216" customFormat="false" ht="15" hidden="false" customHeight="false" outlineLevel="0" collapsed="false">
      <c r="B216" s="139" t="n">
        <v>211</v>
      </c>
      <c r="C216" s="140" t="s">
        <v>3413</v>
      </c>
      <c r="D216" s="140" t="s">
        <v>3185</v>
      </c>
      <c r="E216" s="140" t="s">
        <v>3187</v>
      </c>
      <c r="F216" s="140" t="s">
        <v>3190</v>
      </c>
      <c r="G216" s="140" t="s">
        <v>3182</v>
      </c>
      <c r="H216" s="140" t="s">
        <v>3180</v>
      </c>
      <c r="I216" s="140" t="s">
        <v>3188</v>
      </c>
      <c r="J216" s="140" t="s">
        <v>3192</v>
      </c>
      <c r="K216" s="141" t="s">
        <v>3191</v>
      </c>
    </row>
    <row r="217" customFormat="false" ht="15" hidden="false" customHeight="false" outlineLevel="0" collapsed="false">
      <c r="B217" s="139" t="n">
        <v>212</v>
      </c>
      <c r="C217" s="140" t="s">
        <v>3414</v>
      </c>
      <c r="D217" s="140" t="s">
        <v>3185</v>
      </c>
      <c r="E217" s="140" t="s">
        <v>3187</v>
      </c>
      <c r="F217" s="140" t="s">
        <v>3189</v>
      </c>
      <c r="G217" s="140" t="s">
        <v>3182</v>
      </c>
      <c r="H217" s="140" t="s">
        <v>3180</v>
      </c>
      <c r="I217" s="140" t="s">
        <v>3188</v>
      </c>
      <c r="J217" s="140" t="s">
        <v>3192</v>
      </c>
      <c r="K217" s="141" t="s">
        <v>3191</v>
      </c>
    </row>
    <row r="218" customFormat="false" ht="15" hidden="false" customHeight="false" outlineLevel="0" collapsed="false">
      <c r="B218" s="139" t="n">
        <v>213</v>
      </c>
      <c r="C218" s="140" t="s">
        <v>3415</v>
      </c>
      <c r="D218" s="140" t="s">
        <v>3185</v>
      </c>
      <c r="E218" s="140" t="s">
        <v>3187</v>
      </c>
      <c r="F218" s="140" t="s">
        <v>3190</v>
      </c>
      <c r="G218" s="140" t="s">
        <v>3182</v>
      </c>
      <c r="H218" s="140" t="s">
        <v>3180</v>
      </c>
      <c r="I218" s="140" t="s">
        <v>3188</v>
      </c>
      <c r="J218" s="140" t="s">
        <v>3192</v>
      </c>
      <c r="K218" s="141" t="s">
        <v>3189</v>
      </c>
    </row>
    <row r="219" customFormat="false" ht="15" hidden="false" customHeight="false" outlineLevel="0" collapsed="false">
      <c r="B219" s="139" t="n">
        <v>214</v>
      </c>
      <c r="C219" s="140" t="s">
        <v>3416</v>
      </c>
      <c r="D219" s="140" t="s">
        <v>3185</v>
      </c>
      <c r="E219" s="140" t="s">
        <v>3187</v>
      </c>
      <c r="F219" s="140" t="s">
        <v>3190</v>
      </c>
      <c r="G219" s="140" t="s">
        <v>3182</v>
      </c>
      <c r="H219" s="140" t="s">
        <v>3180</v>
      </c>
      <c r="I219" s="140" t="s">
        <v>3188</v>
      </c>
      <c r="J219" s="140" t="s">
        <v>3189</v>
      </c>
      <c r="K219" s="141" t="s">
        <v>3191</v>
      </c>
    </row>
    <row r="220" customFormat="false" ht="15" hidden="false" customHeight="false" outlineLevel="0" collapsed="false">
      <c r="B220" s="139" t="n">
        <v>215</v>
      </c>
      <c r="C220" s="140" t="s">
        <v>3417</v>
      </c>
      <c r="D220" s="140" t="s">
        <v>3185</v>
      </c>
      <c r="E220" s="140" t="s">
        <v>3190</v>
      </c>
      <c r="F220" s="140" t="s">
        <v>3189</v>
      </c>
      <c r="G220" s="140" t="s">
        <v>3182</v>
      </c>
      <c r="H220" s="140" t="s">
        <v>3180</v>
      </c>
      <c r="I220" s="140" t="s">
        <v>3186</v>
      </c>
      <c r="J220" s="140" t="s">
        <v>3192</v>
      </c>
      <c r="K220" s="141" t="s">
        <v>3191</v>
      </c>
    </row>
    <row r="221" customFormat="false" ht="15" hidden="false" customHeight="false" outlineLevel="0" collapsed="false">
      <c r="B221" s="139" t="n">
        <v>216</v>
      </c>
      <c r="C221" s="140" t="s">
        <v>3418</v>
      </c>
      <c r="D221" s="140" t="s">
        <v>3188</v>
      </c>
      <c r="E221" s="140" t="s">
        <v>3190</v>
      </c>
      <c r="F221" s="140" t="s">
        <v>3185</v>
      </c>
      <c r="G221" s="140" t="s">
        <v>3182</v>
      </c>
      <c r="H221" s="140" t="s">
        <v>3180</v>
      </c>
      <c r="I221" s="140" t="s">
        <v>3186</v>
      </c>
      <c r="J221" s="140" t="s">
        <v>3192</v>
      </c>
      <c r="K221" s="141" t="s">
        <v>3191</v>
      </c>
    </row>
    <row r="222" customFormat="false" ht="15" hidden="false" customHeight="false" outlineLevel="0" collapsed="false">
      <c r="B222" s="139" t="n">
        <v>217</v>
      </c>
      <c r="C222" s="140" t="s">
        <v>3419</v>
      </c>
      <c r="D222" s="140" t="s">
        <v>3188</v>
      </c>
      <c r="E222" s="140" t="s">
        <v>3185</v>
      </c>
      <c r="F222" s="140" t="s">
        <v>3189</v>
      </c>
      <c r="G222" s="140" t="s">
        <v>3182</v>
      </c>
      <c r="H222" s="140" t="s">
        <v>3180</v>
      </c>
      <c r="I222" s="140" t="s">
        <v>3186</v>
      </c>
      <c r="J222" s="140" t="s">
        <v>3192</v>
      </c>
      <c r="K222" s="141" t="s">
        <v>3191</v>
      </c>
    </row>
    <row r="223" customFormat="false" ht="15" hidden="false" customHeight="false" outlineLevel="0" collapsed="false">
      <c r="B223" s="139" t="n">
        <v>218</v>
      </c>
      <c r="C223" s="140" t="s">
        <v>3420</v>
      </c>
      <c r="D223" s="140" t="s">
        <v>3188</v>
      </c>
      <c r="E223" s="140" t="s">
        <v>3190</v>
      </c>
      <c r="F223" s="140" t="s">
        <v>3185</v>
      </c>
      <c r="G223" s="140" t="s">
        <v>3182</v>
      </c>
      <c r="H223" s="140" t="s">
        <v>3180</v>
      </c>
      <c r="I223" s="140" t="s">
        <v>3186</v>
      </c>
      <c r="J223" s="140" t="s">
        <v>3192</v>
      </c>
      <c r="K223" s="141" t="s">
        <v>3189</v>
      </c>
    </row>
    <row r="224" customFormat="false" ht="15" hidden="false" customHeight="false" outlineLevel="0" collapsed="false">
      <c r="B224" s="139" t="n">
        <v>219</v>
      </c>
      <c r="C224" s="140" t="s">
        <v>3421</v>
      </c>
      <c r="D224" s="140" t="s">
        <v>3188</v>
      </c>
      <c r="E224" s="140" t="s">
        <v>3190</v>
      </c>
      <c r="F224" s="140" t="s">
        <v>3185</v>
      </c>
      <c r="G224" s="140" t="s">
        <v>3182</v>
      </c>
      <c r="H224" s="140" t="s">
        <v>3180</v>
      </c>
      <c r="I224" s="140" t="s">
        <v>3186</v>
      </c>
      <c r="J224" s="140" t="s">
        <v>3189</v>
      </c>
      <c r="K224" s="141" t="s">
        <v>3191</v>
      </c>
    </row>
    <row r="225" customFormat="false" ht="15" hidden="false" customHeight="false" outlineLevel="0" collapsed="false">
      <c r="B225" s="139" t="n">
        <v>220</v>
      </c>
      <c r="C225" s="140" t="s">
        <v>3422</v>
      </c>
      <c r="D225" s="140" t="s">
        <v>3185</v>
      </c>
      <c r="E225" s="140" t="s">
        <v>3187</v>
      </c>
      <c r="F225" s="140" t="s">
        <v>3190</v>
      </c>
      <c r="G225" s="140" t="s">
        <v>3182</v>
      </c>
      <c r="H225" s="140" t="s">
        <v>3180</v>
      </c>
      <c r="I225" s="140" t="s">
        <v>3186</v>
      </c>
      <c r="J225" s="140" t="s">
        <v>3192</v>
      </c>
      <c r="K225" s="141" t="s">
        <v>3191</v>
      </c>
    </row>
    <row r="226" customFormat="false" ht="15" hidden="false" customHeight="false" outlineLevel="0" collapsed="false">
      <c r="B226" s="139" t="n">
        <v>221</v>
      </c>
      <c r="C226" s="140" t="s">
        <v>3423</v>
      </c>
      <c r="D226" s="140" t="s">
        <v>3185</v>
      </c>
      <c r="E226" s="140" t="s">
        <v>3187</v>
      </c>
      <c r="F226" s="140" t="s">
        <v>3189</v>
      </c>
      <c r="G226" s="140" t="s">
        <v>3182</v>
      </c>
      <c r="H226" s="140" t="s">
        <v>3180</v>
      </c>
      <c r="I226" s="140" t="s">
        <v>3186</v>
      </c>
      <c r="J226" s="140" t="s">
        <v>3192</v>
      </c>
      <c r="K226" s="141" t="s">
        <v>3191</v>
      </c>
    </row>
    <row r="227" customFormat="false" ht="15" hidden="false" customHeight="false" outlineLevel="0" collapsed="false">
      <c r="B227" s="139" t="n">
        <v>222</v>
      </c>
      <c r="C227" s="140" t="s">
        <v>3424</v>
      </c>
      <c r="D227" s="140" t="s">
        <v>3185</v>
      </c>
      <c r="E227" s="140" t="s">
        <v>3187</v>
      </c>
      <c r="F227" s="140" t="s">
        <v>3190</v>
      </c>
      <c r="G227" s="140" t="s">
        <v>3182</v>
      </c>
      <c r="H227" s="140" t="s">
        <v>3180</v>
      </c>
      <c r="I227" s="140" t="s">
        <v>3186</v>
      </c>
      <c r="J227" s="140" t="s">
        <v>3192</v>
      </c>
      <c r="K227" s="141" t="s">
        <v>3189</v>
      </c>
    </row>
    <row r="228" customFormat="false" ht="15" hidden="false" customHeight="false" outlineLevel="0" collapsed="false">
      <c r="B228" s="139" t="n">
        <v>223</v>
      </c>
      <c r="C228" s="140" t="s">
        <v>3425</v>
      </c>
      <c r="D228" s="140" t="s">
        <v>3185</v>
      </c>
      <c r="E228" s="140" t="s">
        <v>3187</v>
      </c>
      <c r="F228" s="140" t="s">
        <v>3190</v>
      </c>
      <c r="G228" s="140" t="s">
        <v>3182</v>
      </c>
      <c r="H228" s="140" t="s">
        <v>3180</v>
      </c>
      <c r="I228" s="140" t="s">
        <v>3186</v>
      </c>
      <c r="J228" s="140" t="s">
        <v>3189</v>
      </c>
      <c r="K228" s="141" t="s">
        <v>3191</v>
      </c>
    </row>
    <row r="229" customFormat="false" ht="15" hidden="false" customHeight="false" outlineLevel="0" collapsed="false">
      <c r="B229" s="139" t="n">
        <v>224</v>
      </c>
      <c r="C229" s="140" t="s">
        <v>3426</v>
      </c>
      <c r="D229" s="140" t="s">
        <v>3188</v>
      </c>
      <c r="E229" s="140" t="s">
        <v>3187</v>
      </c>
      <c r="F229" s="140" t="s">
        <v>3185</v>
      </c>
      <c r="G229" s="140" t="s">
        <v>3182</v>
      </c>
      <c r="H229" s="140" t="s">
        <v>3180</v>
      </c>
      <c r="I229" s="140" t="s">
        <v>3186</v>
      </c>
      <c r="J229" s="140" t="s">
        <v>3192</v>
      </c>
      <c r="K229" s="141" t="s">
        <v>3191</v>
      </c>
    </row>
    <row r="230" customFormat="false" ht="15" hidden="false" customHeight="false" outlineLevel="0" collapsed="false">
      <c r="B230" s="139" t="n">
        <v>225</v>
      </c>
      <c r="C230" s="140" t="s">
        <v>3427</v>
      </c>
      <c r="D230" s="140" t="s">
        <v>3188</v>
      </c>
      <c r="E230" s="140" t="s">
        <v>3187</v>
      </c>
      <c r="F230" s="140" t="s">
        <v>3190</v>
      </c>
      <c r="G230" s="140" t="s">
        <v>3182</v>
      </c>
      <c r="H230" s="140" t="s">
        <v>3180</v>
      </c>
      <c r="I230" s="140" t="s">
        <v>3186</v>
      </c>
      <c r="J230" s="140" t="s">
        <v>3192</v>
      </c>
      <c r="K230" s="141" t="s">
        <v>3185</v>
      </c>
    </row>
    <row r="231" customFormat="false" ht="15" hidden="false" customHeight="false" outlineLevel="0" collapsed="false">
      <c r="B231" s="139" t="n">
        <v>226</v>
      </c>
      <c r="C231" s="140" t="s">
        <v>3428</v>
      </c>
      <c r="D231" s="140" t="s">
        <v>3188</v>
      </c>
      <c r="E231" s="140" t="s">
        <v>3187</v>
      </c>
      <c r="F231" s="140" t="s">
        <v>3190</v>
      </c>
      <c r="G231" s="140" t="s">
        <v>3182</v>
      </c>
      <c r="H231" s="140" t="s">
        <v>3180</v>
      </c>
      <c r="I231" s="140" t="s">
        <v>3186</v>
      </c>
      <c r="J231" s="140" t="s">
        <v>3185</v>
      </c>
      <c r="K231" s="141" t="s">
        <v>3191</v>
      </c>
    </row>
    <row r="232" customFormat="false" ht="15" hidden="false" customHeight="false" outlineLevel="0" collapsed="false">
      <c r="B232" s="139" t="n">
        <v>227</v>
      </c>
      <c r="C232" s="140" t="s">
        <v>3429</v>
      </c>
      <c r="D232" s="140" t="s">
        <v>3188</v>
      </c>
      <c r="E232" s="140" t="s">
        <v>3187</v>
      </c>
      <c r="F232" s="140" t="s">
        <v>3185</v>
      </c>
      <c r="G232" s="140" t="s">
        <v>3182</v>
      </c>
      <c r="H232" s="140" t="s">
        <v>3180</v>
      </c>
      <c r="I232" s="140" t="s">
        <v>3186</v>
      </c>
      <c r="J232" s="140" t="s">
        <v>3192</v>
      </c>
      <c r="K232" s="141" t="s">
        <v>3189</v>
      </c>
    </row>
    <row r="233" customFormat="false" ht="15" hidden="false" customHeight="false" outlineLevel="0" collapsed="false">
      <c r="B233" s="139" t="n">
        <v>228</v>
      </c>
      <c r="C233" s="140" t="s">
        <v>3430</v>
      </c>
      <c r="D233" s="140" t="s">
        <v>3188</v>
      </c>
      <c r="E233" s="140" t="s">
        <v>3187</v>
      </c>
      <c r="F233" s="140" t="s">
        <v>3185</v>
      </c>
      <c r="G233" s="140" t="s">
        <v>3182</v>
      </c>
      <c r="H233" s="140" t="s">
        <v>3180</v>
      </c>
      <c r="I233" s="140" t="s">
        <v>3186</v>
      </c>
      <c r="J233" s="140" t="s">
        <v>3189</v>
      </c>
      <c r="K233" s="141" t="s">
        <v>3191</v>
      </c>
    </row>
    <row r="234" customFormat="false" ht="15" hidden="false" customHeight="false" outlineLevel="0" collapsed="false">
      <c r="B234" s="139" t="n">
        <v>229</v>
      </c>
      <c r="C234" s="140" t="s">
        <v>3431</v>
      </c>
      <c r="D234" s="140" t="s">
        <v>3188</v>
      </c>
      <c r="E234" s="140" t="s">
        <v>3187</v>
      </c>
      <c r="F234" s="140" t="s">
        <v>3190</v>
      </c>
      <c r="G234" s="140" t="s">
        <v>3182</v>
      </c>
      <c r="H234" s="140" t="s">
        <v>3180</v>
      </c>
      <c r="I234" s="140" t="s">
        <v>3186</v>
      </c>
      <c r="J234" s="140" t="s">
        <v>3185</v>
      </c>
      <c r="K234" s="141" t="s">
        <v>3189</v>
      </c>
    </row>
    <row r="235" customFormat="false" ht="15" hidden="false" customHeight="false" outlineLevel="0" collapsed="false">
      <c r="B235" s="139" t="n">
        <v>230</v>
      </c>
      <c r="C235" s="140" t="s">
        <v>3432</v>
      </c>
      <c r="D235" s="140" t="s">
        <v>3188</v>
      </c>
      <c r="E235" s="140" t="s">
        <v>3190</v>
      </c>
      <c r="F235" s="140" t="s">
        <v>3189</v>
      </c>
      <c r="G235" s="140" t="s">
        <v>3182</v>
      </c>
      <c r="H235" s="140" t="s">
        <v>3180</v>
      </c>
      <c r="I235" s="140" t="s">
        <v>3184</v>
      </c>
      <c r="J235" s="140" t="s">
        <v>3192</v>
      </c>
      <c r="K235" s="141" t="s">
        <v>3191</v>
      </c>
    </row>
    <row r="236" customFormat="false" ht="15" hidden="false" customHeight="false" outlineLevel="0" collapsed="false">
      <c r="B236" s="139" t="n">
        <v>231</v>
      </c>
      <c r="C236" s="140" t="s">
        <v>3433</v>
      </c>
      <c r="D236" s="140" t="s">
        <v>3189</v>
      </c>
      <c r="E236" s="140" t="s">
        <v>3187</v>
      </c>
      <c r="F236" s="140" t="s">
        <v>3190</v>
      </c>
      <c r="G236" s="140" t="s">
        <v>3182</v>
      </c>
      <c r="H236" s="140" t="s">
        <v>3180</v>
      </c>
      <c r="I236" s="140" t="s">
        <v>3184</v>
      </c>
      <c r="J236" s="140" t="s">
        <v>3192</v>
      </c>
      <c r="K236" s="141" t="s">
        <v>3191</v>
      </c>
    </row>
    <row r="237" customFormat="false" ht="15" hidden="false" customHeight="false" outlineLevel="0" collapsed="false">
      <c r="B237" s="139" t="n">
        <v>232</v>
      </c>
      <c r="C237" s="140" t="s">
        <v>3434</v>
      </c>
      <c r="D237" s="140" t="s">
        <v>3188</v>
      </c>
      <c r="E237" s="140" t="s">
        <v>3187</v>
      </c>
      <c r="F237" s="140" t="s">
        <v>3190</v>
      </c>
      <c r="G237" s="140" t="s">
        <v>3182</v>
      </c>
      <c r="H237" s="140" t="s">
        <v>3180</v>
      </c>
      <c r="I237" s="140" t="s">
        <v>3184</v>
      </c>
      <c r="J237" s="140" t="s">
        <v>3192</v>
      </c>
      <c r="K237" s="141" t="s">
        <v>3191</v>
      </c>
    </row>
    <row r="238" customFormat="false" ht="15" hidden="false" customHeight="false" outlineLevel="0" collapsed="false">
      <c r="B238" s="139" t="n">
        <v>233</v>
      </c>
      <c r="C238" s="140" t="s">
        <v>3435</v>
      </c>
      <c r="D238" s="140" t="s">
        <v>3188</v>
      </c>
      <c r="E238" s="140" t="s">
        <v>3187</v>
      </c>
      <c r="F238" s="140" t="s">
        <v>3189</v>
      </c>
      <c r="G238" s="140" t="s">
        <v>3182</v>
      </c>
      <c r="H238" s="140" t="s">
        <v>3180</v>
      </c>
      <c r="I238" s="140" t="s">
        <v>3184</v>
      </c>
      <c r="J238" s="140" t="s">
        <v>3192</v>
      </c>
      <c r="K238" s="141" t="s">
        <v>3191</v>
      </c>
    </row>
    <row r="239" customFormat="false" ht="15" hidden="false" customHeight="false" outlineLevel="0" collapsed="false">
      <c r="B239" s="139" t="n">
        <v>234</v>
      </c>
      <c r="C239" s="140" t="s">
        <v>3436</v>
      </c>
      <c r="D239" s="140" t="s">
        <v>3188</v>
      </c>
      <c r="E239" s="140" t="s">
        <v>3187</v>
      </c>
      <c r="F239" s="140" t="s">
        <v>3190</v>
      </c>
      <c r="G239" s="140" t="s">
        <v>3182</v>
      </c>
      <c r="H239" s="140" t="s">
        <v>3180</v>
      </c>
      <c r="I239" s="140" t="s">
        <v>3184</v>
      </c>
      <c r="J239" s="140" t="s">
        <v>3192</v>
      </c>
      <c r="K239" s="141" t="s">
        <v>3189</v>
      </c>
    </row>
    <row r="240" customFormat="false" ht="15" hidden="false" customHeight="false" outlineLevel="0" collapsed="false">
      <c r="B240" s="139" t="n">
        <v>235</v>
      </c>
      <c r="C240" s="140" t="s">
        <v>3437</v>
      </c>
      <c r="D240" s="140" t="s">
        <v>3188</v>
      </c>
      <c r="E240" s="140" t="s">
        <v>3187</v>
      </c>
      <c r="F240" s="140" t="s">
        <v>3190</v>
      </c>
      <c r="G240" s="140" t="s">
        <v>3182</v>
      </c>
      <c r="H240" s="140" t="s">
        <v>3180</v>
      </c>
      <c r="I240" s="140" t="s">
        <v>3184</v>
      </c>
      <c r="J240" s="140" t="s">
        <v>3189</v>
      </c>
      <c r="K240" s="141" t="s">
        <v>3191</v>
      </c>
    </row>
    <row r="241" customFormat="false" ht="15" hidden="false" customHeight="false" outlineLevel="0" collapsed="false">
      <c r="B241" s="139" t="n">
        <v>236</v>
      </c>
      <c r="C241" s="140" t="s">
        <v>3438</v>
      </c>
      <c r="D241" s="140" t="s">
        <v>3182</v>
      </c>
      <c r="E241" s="140" t="s">
        <v>3190</v>
      </c>
      <c r="F241" s="140" t="s">
        <v>3189</v>
      </c>
      <c r="G241" s="140" t="s">
        <v>3184</v>
      </c>
      <c r="H241" s="140" t="s">
        <v>3180</v>
      </c>
      <c r="I241" s="140" t="s">
        <v>3186</v>
      </c>
      <c r="J241" s="140" t="s">
        <v>3192</v>
      </c>
      <c r="K241" s="141" t="s">
        <v>3191</v>
      </c>
    </row>
    <row r="242" customFormat="false" ht="15" hidden="false" customHeight="false" outlineLevel="0" collapsed="false">
      <c r="B242" s="139" t="n">
        <v>237</v>
      </c>
      <c r="C242" s="140" t="s">
        <v>3439</v>
      </c>
      <c r="D242" s="140" t="s">
        <v>3188</v>
      </c>
      <c r="E242" s="140" t="s">
        <v>3190</v>
      </c>
      <c r="F242" s="140" t="s">
        <v>3186</v>
      </c>
      <c r="G242" s="140" t="s">
        <v>3182</v>
      </c>
      <c r="H242" s="140" t="s">
        <v>3180</v>
      </c>
      <c r="I242" s="140" t="s">
        <v>3184</v>
      </c>
      <c r="J242" s="140" t="s">
        <v>3192</v>
      </c>
      <c r="K242" s="141" t="s">
        <v>3191</v>
      </c>
    </row>
    <row r="243" customFormat="false" ht="15" hidden="false" customHeight="false" outlineLevel="0" collapsed="false">
      <c r="B243" s="139" t="n">
        <v>238</v>
      </c>
      <c r="C243" s="140" t="s">
        <v>3440</v>
      </c>
      <c r="D243" s="140" t="s">
        <v>3188</v>
      </c>
      <c r="E243" s="140" t="s">
        <v>3186</v>
      </c>
      <c r="F243" s="140" t="s">
        <v>3189</v>
      </c>
      <c r="G243" s="140" t="s">
        <v>3182</v>
      </c>
      <c r="H243" s="140" t="s">
        <v>3180</v>
      </c>
      <c r="I243" s="140" t="s">
        <v>3184</v>
      </c>
      <c r="J243" s="140" t="s">
        <v>3192</v>
      </c>
      <c r="K243" s="141" t="s">
        <v>3191</v>
      </c>
    </row>
    <row r="244" customFormat="false" ht="15" hidden="false" customHeight="false" outlineLevel="0" collapsed="false">
      <c r="B244" s="139" t="n">
        <v>239</v>
      </c>
      <c r="C244" s="140" t="s">
        <v>3441</v>
      </c>
      <c r="D244" s="140" t="s">
        <v>3188</v>
      </c>
      <c r="E244" s="140" t="s">
        <v>3190</v>
      </c>
      <c r="F244" s="140" t="s">
        <v>3186</v>
      </c>
      <c r="G244" s="140" t="s">
        <v>3182</v>
      </c>
      <c r="H244" s="140" t="s">
        <v>3180</v>
      </c>
      <c r="I244" s="140" t="s">
        <v>3184</v>
      </c>
      <c r="J244" s="140" t="s">
        <v>3192</v>
      </c>
      <c r="K244" s="141" t="s">
        <v>3189</v>
      </c>
    </row>
    <row r="245" customFormat="false" ht="15" hidden="false" customHeight="false" outlineLevel="0" collapsed="false">
      <c r="B245" s="139" t="n">
        <v>240</v>
      </c>
      <c r="C245" s="140" t="s">
        <v>3442</v>
      </c>
      <c r="D245" s="140" t="s">
        <v>3188</v>
      </c>
      <c r="E245" s="140" t="s">
        <v>3190</v>
      </c>
      <c r="F245" s="140" t="s">
        <v>3186</v>
      </c>
      <c r="G245" s="140" t="s">
        <v>3182</v>
      </c>
      <c r="H245" s="140" t="s">
        <v>3180</v>
      </c>
      <c r="I245" s="140" t="s">
        <v>3184</v>
      </c>
      <c r="J245" s="140" t="s">
        <v>3189</v>
      </c>
      <c r="K245" s="141" t="s">
        <v>3191</v>
      </c>
    </row>
    <row r="246" customFormat="false" ht="15" hidden="false" customHeight="false" outlineLevel="0" collapsed="false">
      <c r="B246" s="139" t="n">
        <v>241</v>
      </c>
      <c r="C246" s="140" t="s">
        <v>3443</v>
      </c>
      <c r="D246" s="140" t="s">
        <v>3182</v>
      </c>
      <c r="E246" s="140" t="s">
        <v>3187</v>
      </c>
      <c r="F246" s="140" t="s">
        <v>3190</v>
      </c>
      <c r="G246" s="140" t="s">
        <v>3184</v>
      </c>
      <c r="H246" s="140" t="s">
        <v>3180</v>
      </c>
      <c r="I246" s="140" t="s">
        <v>3186</v>
      </c>
      <c r="J246" s="140" t="s">
        <v>3192</v>
      </c>
      <c r="K246" s="141" t="s">
        <v>3191</v>
      </c>
    </row>
    <row r="247" customFormat="false" ht="15" hidden="false" customHeight="false" outlineLevel="0" collapsed="false">
      <c r="B247" s="139" t="n">
        <v>242</v>
      </c>
      <c r="C247" s="140" t="s">
        <v>3444</v>
      </c>
      <c r="D247" s="140" t="s">
        <v>3182</v>
      </c>
      <c r="E247" s="140" t="s">
        <v>3187</v>
      </c>
      <c r="F247" s="140" t="s">
        <v>3189</v>
      </c>
      <c r="G247" s="140" t="s">
        <v>3184</v>
      </c>
      <c r="H247" s="140" t="s">
        <v>3180</v>
      </c>
      <c r="I247" s="140" t="s">
        <v>3186</v>
      </c>
      <c r="J247" s="140" t="s">
        <v>3192</v>
      </c>
      <c r="K247" s="141" t="s">
        <v>3191</v>
      </c>
    </row>
    <row r="248" customFormat="false" ht="15" hidden="false" customHeight="false" outlineLevel="0" collapsed="false">
      <c r="B248" s="139" t="n">
        <v>243</v>
      </c>
      <c r="C248" s="140" t="s">
        <v>3445</v>
      </c>
      <c r="D248" s="140" t="s">
        <v>3182</v>
      </c>
      <c r="E248" s="140" t="s">
        <v>3187</v>
      </c>
      <c r="F248" s="140" t="s">
        <v>3190</v>
      </c>
      <c r="G248" s="140" t="s">
        <v>3184</v>
      </c>
      <c r="H248" s="140" t="s">
        <v>3180</v>
      </c>
      <c r="I248" s="140" t="s">
        <v>3186</v>
      </c>
      <c r="J248" s="140" t="s">
        <v>3192</v>
      </c>
      <c r="K248" s="141" t="s">
        <v>3189</v>
      </c>
    </row>
    <row r="249" customFormat="false" ht="15" hidden="false" customHeight="false" outlineLevel="0" collapsed="false">
      <c r="B249" s="139" t="n">
        <v>244</v>
      </c>
      <c r="C249" s="140" t="s">
        <v>3446</v>
      </c>
      <c r="D249" s="140" t="s">
        <v>3182</v>
      </c>
      <c r="E249" s="140" t="s">
        <v>3187</v>
      </c>
      <c r="F249" s="140" t="s">
        <v>3190</v>
      </c>
      <c r="G249" s="140" t="s">
        <v>3184</v>
      </c>
      <c r="H249" s="140" t="s">
        <v>3180</v>
      </c>
      <c r="I249" s="140" t="s">
        <v>3186</v>
      </c>
      <c r="J249" s="140" t="s">
        <v>3189</v>
      </c>
      <c r="K249" s="141" t="s">
        <v>3191</v>
      </c>
    </row>
    <row r="250" customFormat="false" ht="15" hidden="false" customHeight="false" outlineLevel="0" collapsed="false">
      <c r="B250" s="139" t="n">
        <v>245</v>
      </c>
      <c r="C250" s="140" t="s">
        <v>3447</v>
      </c>
      <c r="D250" s="140" t="s">
        <v>3188</v>
      </c>
      <c r="E250" s="140" t="s">
        <v>3187</v>
      </c>
      <c r="F250" s="140" t="s">
        <v>3186</v>
      </c>
      <c r="G250" s="140" t="s">
        <v>3182</v>
      </c>
      <c r="H250" s="140" t="s">
        <v>3180</v>
      </c>
      <c r="I250" s="140" t="s">
        <v>3184</v>
      </c>
      <c r="J250" s="140" t="s">
        <v>3192</v>
      </c>
      <c r="K250" s="141" t="s">
        <v>3191</v>
      </c>
    </row>
    <row r="251" customFormat="false" ht="15" hidden="false" customHeight="false" outlineLevel="0" collapsed="false">
      <c r="B251" s="139" t="n">
        <v>246</v>
      </c>
      <c r="C251" s="140" t="s">
        <v>3448</v>
      </c>
      <c r="D251" s="140" t="s">
        <v>3182</v>
      </c>
      <c r="E251" s="140" t="s">
        <v>3187</v>
      </c>
      <c r="F251" s="140" t="s">
        <v>3190</v>
      </c>
      <c r="G251" s="140" t="s">
        <v>3184</v>
      </c>
      <c r="H251" s="140" t="s">
        <v>3180</v>
      </c>
      <c r="I251" s="140" t="s">
        <v>3186</v>
      </c>
      <c r="J251" s="140" t="s">
        <v>3192</v>
      </c>
      <c r="K251" s="141" t="s">
        <v>3188</v>
      </c>
    </row>
    <row r="252" customFormat="false" ht="15" hidden="false" customHeight="false" outlineLevel="0" collapsed="false">
      <c r="B252" s="139" t="n">
        <v>247</v>
      </c>
      <c r="C252" s="140" t="s">
        <v>3449</v>
      </c>
      <c r="D252" s="140" t="s">
        <v>3188</v>
      </c>
      <c r="E252" s="140" t="s">
        <v>3187</v>
      </c>
      <c r="F252" s="140" t="s">
        <v>3190</v>
      </c>
      <c r="G252" s="140" t="s">
        <v>3182</v>
      </c>
      <c r="H252" s="140" t="s">
        <v>3180</v>
      </c>
      <c r="I252" s="140" t="s">
        <v>3186</v>
      </c>
      <c r="J252" s="140" t="s">
        <v>3184</v>
      </c>
      <c r="K252" s="141" t="s">
        <v>3191</v>
      </c>
    </row>
    <row r="253" customFormat="false" ht="15" hidden="false" customHeight="false" outlineLevel="0" collapsed="false">
      <c r="B253" s="139" t="n">
        <v>248</v>
      </c>
      <c r="C253" s="140" t="s">
        <v>3450</v>
      </c>
      <c r="D253" s="140" t="s">
        <v>3188</v>
      </c>
      <c r="E253" s="140" t="s">
        <v>3187</v>
      </c>
      <c r="F253" s="140" t="s">
        <v>3186</v>
      </c>
      <c r="G253" s="140" t="s">
        <v>3182</v>
      </c>
      <c r="H253" s="140" t="s">
        <v>3180</v>
      </c>
      <c r="I253" s="140" t="s">
        <v>3184</v>
      </c>
      <c r="J253" s="140" t="s">
        <v>3192</v>
      </c>
      <c r="K253" s="141" t="s">
        <v>3189</v>
      </c>
    </row>
    <row r="254" customFormat="false" ht="15" hidden="false" customHeight="false" outlineLevel="0" collapsed="false">
      <c r="B254" s="139" t="n">
        <v>249</v>
      </c>
      <c r="C254" s="140" t="s">
        <v>3451</v>
      </c>
      <c r="D254" s="140" t="s">
        <v>3188</v>
      </c>
      <c r="E254" s="140" t="s">
        <v>3187</v>
      </c>
      <c r="F254" s="140" t="s">
        <v>3186</v>
      </c>
      <c r="G254" s="140" t="s">
        <v>3182</v>
      </c>
      <c r="H254" s="140" t="s">
        <v>3180</v>
      </c>
      <c r="I254" s="140" t="s">
        <v>3184</v>
      </c>
      <c r="J254" s="140" t="s">
        <v>3189</v>
      </c>
      <c r="K254" s="141" t="s">
        <v>3191</v>
      </c>
    </row>
    <row r="255" customFormat="false" ht="15" hidden="false" customHeight="false" outlineLevel="0" collapsed="false">
      <c r="B255" s="139" t="n">
        <v>250</v>
      </c>
      <c r="C255" s="140" t="s">
        <v>3452</v>
      </c>
      <c r="D255" s="140" t="s">
        <v>3188</v>
      </c>
      <c r="E255" s="140" t="s">
        <v>3187</v>
      </c>
      <c r="F255" s="140" t="s">
        <v>3190</v>
      </c>
      <c r="G255" s="140" t="s">
        <v>3182</v>
      </c>
      <c r="H255" s="140" t="s">
        <v>3180</v>
      </c>
      <c r="I255" s="140" t="s">
        <v>3186</v>
      </c>
      <c r="J255" s="140" t="s">
        <v>3184</v>
      </c>
      <c r="K255" s="141" t="s">
        <v>3189</v>
      </c>
    </row>
    <row r="256" customFormat="false" ht="15" hidden="false" customHeight="false" outlineLevel="0" collapsed="false">
      <c r="B256" s="139" t="n">
        <v>251</v>
      </c>
      <c r="C256" s="140" t="s">
        <v>3453</v>
      </c>
      <c r="D256" s="140" t="s">
        <v>3185</v>
      </c>
      <c r="E256" s="140" t="s">
        <v>3190</v>
      </c>
      <c r="F256" s="140" t="s">
        <v>3189</v>
      </c>
      <c r="G256" s="140" t="s">
        <v>3182</v>
      </c>
      <c r="H256" s="140" t="s">
        <v>3180</v>
      </c>
      <c r="I256" s="140" t="s">
        <v>3184</v>
      </c>
      <c r="J256" s="140" t="s">
        <v>3192</v>
      </c>
      <c r="K256" s="141" t="s">
        <v>3191</v>
      </c>
    </row>
    <row r="257" customFormat="false" ht="15" hidden="false" customHeight="false" outlineLevel="0" collapsed="false">
      <c r="B257" s="139" t="n">
        <v>252</v>
      </c>
      <c r="C257" s="140" t="s">
        <v>3454</v>
      </c>
      <c r="D257" s="140" t="s">
        <v>3188</v>
      </c>
      <c r="E257" s="140" t="s">
        <v>3190</v>
      </c>
      <c r="F257" s="140" t="s">
        <v>3185</v>
      </c>
      <c r="G257" s="140" t="s">
        <v>3182</v>
      </c>
      <c r="H257" s="140" t="s">
        <v>3180</v>
      </c>
      <c r="I257" s="140" t="s">
        <v>3184</v>
      </c>
      <c r="J257" s="140" t="s">
        <v>3192</v>
      </c>
      <c r="K257" s="141" t="s">
        <v>3191</v>
      </c>
    </row>
    <row r="258" customFormat="false" ht="15" hidden="false" customHeight="false" outlineLevel="0" collapsed="false">
      <c r="B258" s="139" t="n">
        <v>253</v>
      </c>
      <c r="C258" s="140" t="s">
        <v>3455</v>
      </c>
      <c r="D258" s="140" t="s">
        <v>3188</v>
      </c>
      <c r="E258" s="140" t="s">
        <v>3185</v>
      </c>
      <c r="F258" s="140" t="s">
        <v>3189</v>
      </c>
      <c r="G258" s="140" t="s">
        <v>3182</v>
      </c>
      <c r="H258" s="140" t="s">
        <v>3180</v>
      </c>
      <c r="I258" s="140" t="s">
        <v>3184</v>
      </c>
      <c r="J258" s="140" t="s">
        <v>3192</v>
      </c>
      <c r="K258" s="141" t="s">
        <v>3191</v>
      </c>
    </row>
    <row r="259" customFormat="false" ht="15" hidden="false" customHeight="false" outlineLevel="0" collapsed="false">
      <c r="B259" s="139" t="n">
        <v>254</v>
      </c>
      <c r="C259" s="140" t="s">
        <v>3456</v>
      </c>
      <c r="D259" s="140" t="s">
        <v>3188</v>
      </c>
      <c r="E259" s="140" t="s">
        <v>3190</v>
      </c>
      <c r="F259" s="140" t="s">
        <v>3185</v>
      </c>
      <c r="G259" s="140" t="s">
        <v>3182</v>
      </c>
      <c r="H259" s="140" t="s">
        <v>3180</v>
      </c>
      <c r="I259" s="140" t="s">
        <v>3184</v>
      </c>
      <c r="J259" s="140" t="s">
        <v>3192</v>
      </c>
      <c r="K259" s="141" t="s">
        <v>3189</v>
      </c>
    </row>
    <row r="260" customFormat="false" ht="15" hidden="false" customHeight="false" outlineLevel="0" collapsed="false">
      <c r="B260" s="139" t="n">
        <v>255</v>
      </c>
      <c r="C260" s="140" t="s">
        <v>3457</v>
      </c>
      <c r="D260" s="140" t="s">
        <v>3188</v>
      </c>
      <c r="E260" s="140" t="s">
        <v>3190</v>
      </c>
      <c r="F260" s="140" t="s">
        <v>3185</v>
      </c>
      <c r="G260" s="140" t="s">
        <v>3182</v>
      </c>
      <c r="H260" s="140" t="s">
        <v>3180</v>
      </c>
      <c r="I260" s="140" t="s">
        <v>3184</v>
      </c>
      <c r="J260" s="140" t="s">
        <v>3189</v>
      </c>
      <c r="K260" s="141" t="s">
        <v>3191</v>
      </c>
    </row>
    <row r="261" customFormat="false" ht="15" hidden="false" customHeight="false" outlineLevel="0" collapsed="false">
      <c r="B261" s="139" t="n">
        <v>256</v>
      </c>
      <c r="C261" s="140" t="s">
        <v>3458</v>
      </c>
      <c r="D261" s="140" t="s">
        <v>3185</v>
      </c>
      <c r="E261" s="140" t="s">
        <v>3187</v>
      </c>
      <c r="F261" s="140" t="s">
        <v>3190</v>
      </c>
      <c r="G261" s="140" t="s">
        <v>3182</v>
      </c>
      <c r="H261" s="140" t="s">
        <v>3180</v>
      </c>
      <c r="I261" s="140" t="s">
        <v>3184</v>
      </c>
      <c r="J261" s="140" t="s">
        <v>3192</v>
      </c>
      <c r="K261" s="141" t="s">
        <v>3191</v>
      </c>
    </row>
    <row r="262" customFormat="false" ht="15" hidden="false" customHeight="false" outlineLevel="0" collapsed="false">
      <c r="B262" s="139" t="n">
        <v>257</v>
      </c>
      <c r="C262" s="140" t="s">
        <v>3459</v>
      </c>
      <c r="D262" s="140" t="s">
        <v>3185</v>
      </c>
      <c r="E262" s="140" t="s">
        <v>3187</v>
      </c>
      <c r="F262" s="140" t="s">
        <v>3189</v>
      </c>
      <c r="G262" s="140" t="s">
        <v>3182</v>
      </c>
      <c r="H262" s="140" t="s">
        <v>3180</v>
      </c>
      <c r="I262" s="140" t="s">
        <v>3184</v>
      </c>
      <c r="J262" s="140" t="s">
        <v>3192</v>
      </c>
      <c r="K262" s="141" t="s">
        <v>3191</v>
      </c>
    </row>
    <row r="263" customFormat="false" ht="15" hidden="false" customHeight="false" outlineLevel="0" collapsed="false">
      <c r="B263" s="139" t="n">
        <v>258</v>
      </c>
      <c r="C263" s="140" t="s">
        <v>3460</v>
      </c>
      <c r="D263" s="140" t="s">
        <v>3185</v>
      </c>
      <c r="E263" s="140" t="s">
        <v>3187</v>
      </c>
      <c r="F263" s="140" t="s">
        <v>3190</v>
      </c>
      <c r="G263" s="140" t="s">
        <v>3182</v>
      </c>
      <c r="H263" s="140" t="s">
        <v>3180</v>
      </c>
      <c r="I263" s="140" t="s">
        <v>3184</v>
      </c>
      <c r="J263" s="140" t="s">
        <v>3192</v>
      </c>
      <c r="K263" s="141" t="s">
        <v>3189</v>
      </c>
    </row>
    <row r="264" customFormat="false" ht="15" hidden="false" customHeight="false" outlineLevel="0" collapsed="false">
      <c r="B264" s="139" t="n">
        <v>259</v>
      </c>
      <c r="C264" s="140" t="s">
        <v>3461</v>
      </c>
      <c r="D264" s="140" t="s">
        <v>3185</v>
      </c>
      <c r="E264" s="140" t="s">
        <v>3187</v>
      </c>
      <c r="F264" s="140" t="s">
        <v>3190</v>
      </c>
      <c r="G264" s="140" t="s">
        <v>3182</v>
      </c>
      <c r="H264" s="140" t="s">
        <v>3180</v>
      </c>
      <c r="I264" s="140" t="s">
        <v>3184</v>
      </c>
      <c r="J264" s="140" t="s">
        <v>3189</v>
      </c>
      <c r="K264" s="141" t="s">
        <v>3191</v>
      </c>
    </row>
    <row r="265" customFormat="false" ht="15" hidden="false" customHeight="false" outlineLevel="0" collapsed="false">
      <c r="B265" s="139" t="n">
        <v>260</v>
      </c>
      <c r="C265" s="140" t="s">
        <v>3462</v>
      </c>
      <c r="D265" s="140" t="s">
        <v>3188</v>
      </c>
      <c r="E265" s="140" t="s">
        <v>3187</v>
      </c>
      <c r="F265" s="140" t="s">
        <v>3185</v>
      </c>
      <c r="G265" s="140" t="s">
        <v>3182</v>
      </c>
      <c r="H265" s="140" t="s">
        <v>3180</v>
      </c>
      <c r="I265" s="140" t="s">
        <v>3184</v>
      </c>
      <c r="J265" s="140" t="s">
        <v>3192</v>
      </c>
      <c r="K265" s="141" t="s">
        <v>3191</v>
      </c>
    </row>
    <row r="266" customFormat="false" ht="15" hidden="false" customHeight="false" outlineLevel="0" collapsed="false">
      <c r="B266" s="139" t="n">
        <v>261</v>
      </c>
      <c r="C266" s="140" t="s">
        <v>3463</v>
      </c>
      <c r="D266" s="140" t="s">
        <v>3188</v>
      </c>
      <c r="E266" s="140" t="s">
        <v>3187</v>
      </c>
      <c r="F266" s="140" t="s">
        <v>3190</v>
      </c>
      <c r="G266" s="140" t="s">
        <v>3182</v>
      </c>
      <c r="H266" s="140" t="s">
        <v>3180</v>
      </c>
      <c r="I266" s="140" t="s">
        <v>3184</v>
      </c>
      <c r="J266" s="140" t="s">
        <v>3192</v>
      </c>
      <c r="K266" s="141" t="s">
        <v>3185</v>
      </c>
    </row>
    <row r="267" customFormat="false" ht="15" hidden="false" customHeight="false" outlineLevel="0" collapsed="false">
      <c r="B267" s="139" t="n">
        <v>262</v>
      </c>
      <c r="C267" s="140" t="s">
        <v>3464</v>
      </c>
      <c r="D267" s="140" t="s">
        <v>3188</v>
      </c>
      <c r="E267" s="140" t="s">
        <v>3187</v>
      </c>
      <c r="F267" s="140" t="s">
        <v>3190</v>
      </c>
      <c r="G267" s="140" t="s">
        <v>3182</v>
      </c>
      <c r="H267" s="140" t="s">
        <v>3180</v>
      </c>
      <c r="I267" s="140" t="s">
        <v>3184</v>
      </c>
      <c r="J267" s="140" t="s">
        <v>3185</v>
      </c>
      <c r="K267" s="141" t="s">
        <v>3191</v>
      </c>
    </row>
    <row r="268" customFormat="false" ht="15" hidden="false" customHeight="false" outlineLevel="0" collapsed="false">
      <c r="B268" s="139" t="n">
        <v>263</v>
      </c>
      <c r="C268" s="140" t="s">
        <v>3465</v>
      </c>
      <c r="D268" s="140" t="s">
        <v>3188</v>
      </c>
      <c r="E268" s="140" t="s">
        <v>3187</v>
      </c>
      <c r="F268" s="140" t="s">
        <v>3185</v>
      </c>
      <c r="G268" s="140" t="s">
        <v>3182</v>
      </c>
      <c r="H268" s="140" t="s">
        <v>3180</v>
      </c>
      <c r="I268" s="140" t="s">
        <v>3184</v>
      </c>
      <c r="J268" s="140" t="s">
        <v>3192</v>
      </c>
      <c r="K268" s="141" t="s">
        <v>3189</v>
      </c>
    </row>
    <row r="269" customFormat="false" ht="15" hidden="false" customHeight="false" outlineLevel="0" collapsed="false">
      <c r="B269" s="139" t="n">
        <v>264</v>
      </c>
      <c r="C269" s="140" t="s">
        <v>3466</v>
      </c>
      <c r="D269" s="140" t="s">
        <v>3188</v>
      </c>
      <c r="E269" s="140" t="s">
        <v>3187</v>
      </c>
      <c r="F269" s="140" t="s">
        <v>3185</v>
      </c>
      <c r="G269" s="140" t="s">
        <v>3182</v>
      </c>
      <c r="H269" s="140" t="s">
        <v>3180</v>
      </c>
      <c r="I269" s="140" t="s">
        <v>3184</v>
      </c>
      <c r="J269" s="140" t="s">
        <v>3189</v>
      </c>
      <c r="K269" s="141" t="s">
        <v>3191</v>
      </c>
    </row>
    <row r="270" customFormat="false" ht="15" hidden="false" customHeight="false" outlineLevel="0" collapsed="false">
      <c r="B270" s="139" t="n">
        <v>265</v>
      </c>
      <c r="C270" s="140" t="s">
        <v>3467</v>
      </c>
      <c r="D270" s="140" t="s">
        <v>3188</v>
      </c>
      <c r="E270" s="140" t="s">
        <v>3187</v>
      </c>
      <c r="F270" s="140" t="s">
        <v>3190</v>
      </c>
      <c r="G270" s="140" t="s">
        <v>3182</v>
      </c>
      <c r="H270" s="140" t="s">
        <v>3180</v>
      </c>
      <c r="I270" s="140" t="s">
        <v>3184</v>
      </c>
      <c r="J270" s="140" t="s">
        <v>3185</v>
      </c>
      <c r="K270" s="141" t="s">
        <v>3189</v>
      </c>
    </row>
    <row r="271" customFormat="false" ht="15" hidden="false" customHeight="false" outlineLevel="0" collapsed="false">
      <c r="B271" s="139" t="n">
        <v>266</v>
      </c>
      <c r="C271" s="140" t="s">
        <v>3468</v>
      </c>
      <c r="D271" s="140" t="s">
        <v>3182</v>
      </c>
      <c r="E271" s="140" t="s">
        <v>3190</v>
      </c>
      <c r="F271" s="140" t="s">
        <v>3185</v>
      </c>
      <c r="G271" s="140" t="s">
        <v>3184</v>
      </c>
      <c r="H271" s="140" t="s">
        <v>3180</v>
      </c>
      <c r="I271" s="140" t="s">
        <v>3186</v>
      </c>
      <c r="J271" s="140" t="s">
        <v>3192</v>
      </c>
      <c r="K271" s="141" t="s">
        <v>3191</v>
      </c>
    </row>
    <row r="272" customFormat="false" ht="15" hidden="false" customHeight="false" outlineLevel="0" collapsed="false">
      <c r="B272" s="139" t="n">
        <v>267</v>
      </c>
      <c r="C272" s="140" t="s">
        <v>3469</v>
      </c>
      <c r="D272" s="140" t="s">
        <v>3182</v>
      </c>
      <c r="E272" s="140" t="s">
        <v>3185</v>
      </c>
      <c r="F272" s="140" t="s">
        <v>3189</v>
      </c>
      <c r="G272" s="140" t="s">
        <v>3184</v>
      </c>
      <c r="H272" s="140" t="s">
        <v>3180</v>
      </c>
      <c r="I272" s="140" t="s">
        <v>3186</v>
      </c>
      <c r="J272" s="140" t="s">
        <v>3192</v>
      </c>
      <c r="K272" s="141" t="s">
        <v>3191</v>
      </c>
    </row>
    <row r="273" customFormat="false" ht="15" hidden="false" customHeight="false" outlineLevel="0" collapsed="false">
      <c r="B273" s="139" t="n">
        <v>268</v>
      </c>
      <c r="C273" s="140" t="s">
        <v>3470</v>
      </c>
      <c r="D273" s="140" t="s">
        <v>3182</v>
      </c>
      <c r="E273" s="140" t="s">
        <v>3190</v>
      </c>
      <c r="F273" s="140" t="s">
        <v>3185</v>
      </c>
      <c r="G273" s="140" t="s">
        <v>3184</v>
      </c>
      <c r="H273" s="140" t="s">
        <v>3180</v>
      </c>
      <c r="I273" s="140" t="s">
        <v>3186</v>
      </c>
      <c r="J273" s="140" t="s">
        <v>3192</v>
      </c>
      <c r="K273" s="141" t="s">
        <v>3189</v>
      </c>
    </row>
    <row r="274" customFormat="false" ht="15" hidden="false" customHeight="false" outlineLevel="0" collapsed="false">
      <c r="B274" s="139" t="n">
        <v>269</v>
      </c>
      <c r="C274" s="140" t="s">
        <v>3471</v>
      </c>
      <c r="D274" s="140" t="s">
        <v>3182</v>
      </c>
      <c r="E274" s="140" t="s">
        <v>3190</v>
      </c>
      <c r="F274" s="140" t="s">
        <v>3185</v>
      </c>
      <c r="G274" s="140" t="s">
        <v>3184</v>
      </c>
      <c r="H274" s="140" t="s">
        <v>3180</v>
      </c>
      <c r="I274" s="140" t="s">
        <v>3186</v>
      </c>
      <c r="J274" s="140" t="s">
        <v>3189</v>
      </c>
      <c r="K274" s="141" t="s">
        <v>3191</v>
      </c>
    </row>
    <row r="275" customFormat="false" ht="15" hidden="false" customHeight="false" outlineLevel="0" collapsed="false">
      <c r="B275" s="139" t="n">
        <v>270</v>
      </c>
      <c r="C275" s="140" t="s">
        <v>3472</v>
      </c>
      <c r="D275" s="140" t="s">
        <v>3188</v>
      </c>
      <c r="E275" s="140" t="s">
        <v>3185</v>
      </c>
      <c r="F275" s="140" t="s">
        <v>3186</v>
      </c>
      <c r="G275" s="140" t="s">
        <v>3182</v>
      </c>
      <c r="H275" s="140" t="s">
        <v>3180</v>
      </c>
      <c r="I275" s="140" t="s">
        <v>3184</v>
      </c>
      <c r="J275" s="140" t="s">
        <v>3192</v>
      </c>
      <c r="K275" s="141" t="s">
        <v>3191</v>
      </c>
    </row>
    <row r="276" customFormat="false" ht="15" hidden="false" customHeight="false" outlineLevel="0" collapsed="false">
      <c r="B276" s="139" t="n">
        <v>271</v>
      </c>
      <c r="C276" s="140" t="s">
        <v>3473</v>
      </c>
      <c r="D276" s="140" t="s">
        <v>3188</v>
      </c>
      <c r="E276" s="140" t="s">
        <v>3190</v>
      </c>
      <c r="F276" s="140" t="s">
        <v>3186</v>
      </c>
      <c r="G276" s="140" t="s">
        <v>3182</v>
      </c>
      <c r="H276" s="140" t="s">
        <v>3180</v>
      </c>
      <c r="I276" s="140" t="s">
        <v>3184</v>
      </c>
      <c r="J276" s="140" t="s">
        <v>3192</v>
      </c>
      <c r="K276" s="141" t="s">
        <v>3185</v>
      </c>
    </row>
    <row r="277" customFormat="false" ht="15" hidden="false" customHeight="false" outlineLevel="0" collapsed="false">
      <c r="B277" s="139" t="n">
        <v>272</v>
      </c>
      <c r="C277" s="140" t="s">
        <v>3474</v>
      </c>
      <c r="D277" s="140" t="s">
        <v>3188</v>
      </c>
      <c r="E277" s="140" t="s">
        <v>3190</v>
      </c>
      <c r="F277" s="140" t="s">
        <v>3185</v>
      </c>
      <c r="G277" s="140" t="s">
        <v>3182</v>
      </c>
      <c r="H277" s="140" t="s">
        <v>3180</v>
      </c>
      <c r="I277" s="140" t="s">
        <v>3186</v>
      </c>
      <c r="J277" s="140" t="s">
        <v>3184</v>
      </c>
      <c r="K277" s="141" t="s">
        <v>3191</v>
      </c>
    </row>
    <row r="278" customFormat="false" ht="15" hidden="false" customHeight="false" outlineLevel="0" collapsed="false">
      <c r="B278" s="139" t="n">
        <v>273</v>
      </c>
      <c r="C278" s="140" t="s">
        <v>3475</v>
      </c>
      <c r="D278" s="140" t="s">
        <v>3188</v>
      </c>
      <c r="E278" s="140" t="s">
        <v>3185</v>
      </c>
      <c r="F278" s="140" t="s">
        <v>3186</v>
      </c>
      <c r="G278" s="140" t="s">
        <v>3182</v>
      </c>
      <c r="H278" s="140" t="s">
        <v>3180</v>
      </c>
      <c r="I278" s="140" t="s">
        <v>3184</v>
      </c>
      <c r="J278" s="140" t="s">
        <v>3192</v>
      </c>
      <c r="K278" s="141" t="s">
        <v>3189</v>
      </c>
    </row>
    <row r="279" customFormat="false" ht="15" hidden="false" customHeight="false" outlineLevel="0" collapsed="false">
      <c r="B279" s="139" t="n">
        <v>274</v>
      </c>
      <c r="C279" s="140" t="s">
        <v>3476</v>
      </c>
      <c r="D279" s="140" t="s">
        <v>3188</v>
      </c>
      <c r="E279" s="140" t="s">
        <v>3185</v>
      </c>
      <c r="F279" s="140" t="s">
        <v>3186</v>
      </c>
      <c r="G279" s="140" t="s">
        <v>3182</v>
      </c>
      <c r="H279" s="140" t="s">
        <v>3180</v>
      </c>
      <c r="I279" s="140" t="s">
        <v>3184</v>
      </c>
      <c r="J279" s="140" t="s">
        <v>3189</v>
      </c>
      <c r="K279" s="141" t="s">
        <v>3191</v>
      </c>
    </row>
    <row r="280" customFormat="false" ht="15" hidden="false" customHeight="false" outlineLevel="0" collapsed="false">
      <c r="B280" s="139" t="n">
        <v>275</v>
      </c>
      <c r="C280" s="140" t="s">
        <v>3477</v>
      </c>
      <c r="D280" s="140" t="s">
        <v>3188</v>
      </c>
      <c r="E280" s="140" t="s">
        <v>3190</v>
      </c>
      <c r="F280" s="140" t="s">
        <v>3185</v>
      </c>
      <c r="G280" s="140" t="s">
        <v>3182</v>
      </c>
      <c r="H280" s="140" t="s">
        <v>3180</v>
      </c>
      <c r="I280" s="140" t="s">
        <v>3186</v>
      </c>
      <c r="J280" s="140" t="s">
        <v>3184</v>
      </c>
      <c r="K280" s="141" t="s">
        <v>3189</v>
      </c>
    </row>
    <row r="281" customFormat="false" ht="15" hidden="false" customHeight="false" outlineLevel="0" collapsed="false">
      <c r="B281" s="139" t="n">
        <v>276</v>
      </c>
      <c r="C281" s="140" t="s">
        <v>3478</v>
      </c>
      <c r="D281" s="140" t="s">
        <v>3182</v>
      </c>
      <c r="E281" s="140" t="s">
        <v>3187</v>
      </c>
      <c r="F281" s="140" t="s">
        <v>3185</v>
      </c>
      <c r="G281" s="140" t="s">
        <v>3184</v>
      </c>
      <c r="H281" s="140" t="s">
        <v>3180</v>
      </c>
      <c r="I281" s="140" t="s">
        <v>3186</v>
      </c>
      <c r="J281" s="140" t="s">
        <v>3192</v>
      </c>
      <c r="K281" s="141" t="s">
        <v>3191</v>
      </c>
    </row>
    <row r="282" customFormat="false" ht="15" hidden="false" customHeight="false" outlineLevel="0" collapsed="false">
      <c r="B282" s="139" t="n">
        <v>277</v>
      </c>
      <c r="C282" s="140" t="s">
        <v>3479</v>
      </c>
      <c r="D282" s="140" t="s">
        <v>3182</v>
      </c>
      <c r="E282" s="140" t="s">
        <v>3187</v>
      </c>
      <c r="F282" s="140" t="s">
        <v>3190</v>
      </c>
      <c r="G282" s="140" t="s">
        <v>3184</v>
      </c>
      <c r="H282" s="140" t="s">
        <v>3180</v>
      </c>
      <c r="I282" s="140" t="s">
        <v>3186</v>
      </c>
      <c r="J282" s="140" t="s">
        <v>3192</v>
      </c>
      <c r="K282" s="141" t="s">
        <v>3185</v>
      </c>
    </row>
    <row r="283" customFormat="false" ht="15" hidden="false" customHeight="false" outlineLevel="0" collapsed="false">
      <c r="B283" s="139" t="n">
        <v>278</v>
      </c>
      <c r="C283" s="140" t="s">
        <v>3480</v>
      </c>
      <c r="D283" s="140" t="s">
        <v>3182</v>
      </c>
      <c r="E283" s="140" t="s">
        <v>3187</v>
      </c>
      <c r="F283" s="140" t="s">
        <v>3190</v>
      </c>
      <c r="G283" s="140" t="s">
        <v>3184</v>
      </c>
      <c r="H283" s="140" t="s">
        <v>3180</v>
      </c>
      <c r="I283" s="140" t="s">
        <v>3186</v>
      </c>
      <c r="J283" s="140" t="s">
        <v>3185</v>
      </c>
      <c r="K283" s="141" t="s">
        <v>3191</v>
      </c>
    </row>
    <row r="284" customFormat="false" ht="15" hidden="false" customHeight="false" outlineLevel="0" collapsed="false">
      <c r="B284" s="139" t="n">
        <v>279</v>
      </c>
      <c r="C284" s="140" t="s">
        <v>3481</v>
      </c>
      <c r="D284" s="140" t="s">
        <v>3182</v>
      </c>
      <c r="E284" s="140" t="s">
        <v>3187</v>
      </c>
      <c r="F284" s="140" t="s">
        <v>3185</v>
      </c>
      <c r="G284" s="140" t="s">
        <v>3184</v>
      </c>
      <c r="H284" s="140" t="s">
        <v>3180</v>
      </c>
      <c r="I284" s="140" t="s">
        <v>3186</v>
      </c>
      <c r="J284" s="140" t="s">
        <v>3192</v>
      </c>
      <c r="K284" s="141" t="s">
        <v>3189</v>
      </c>
    </row>
    <row r="285" customFormat="false" ht="15" hidden="false" customHeight="false" outlineLevel="0" collapsed="false">
      <c r="B285" s="139" t="n">
        <v>280</v>
      </c>
      <c r="C285" s="140" t="s">
        <v>3482</v>
      </c>
      <c r="D285" s="140" t="s">
        <v>3182</v>
      </c>
      <c r="E285" s="140" t="s">
        <v>3187</v>
      </c>
      <c r="F285" s="140" t="s">
        <v>3185</v>
      </c>
      <c r="G285" s="140" t="s">
        <v>3184</v>
      </c>
      <c r="H285" s="140" t="s">
        <v>3180</v>
      </c>
      <c r="I285" s="140" t="s">
        <v>3186</v>
      </c>
      <c r="J285" s="140" t="s">
        <v>3189</v>
      </c>
      <c r="K285" s="141" t="s">
        <v>3191</v>
      </c>
    </row>
    <row r="286" customFormat="false" ht="15" hidden="false" customHeight="false" outlineLevel="0" collapsed="false">
      <c r="B286" s="139" t="n">
        <v>281</v>
      </c>
      <c r="C286" s="140" t="s">
        <v>3483</v>
      </c>
      <c r="D286" s="140" t="s">
        <v>3182</v>
      </c>
      <c r="E286" s="140" t="s">
        <v>3187</v>
      </c>
      <c r="F286" s="140" t="s">
        <v>3190</v>
      </c>
      <c r="G286" s="140" t="s">
        <v>3184</v>
      </c>
      <c r="H286" s="140" t="s">
        <v>3180</v>
      </c>
      <c r="I286" s="140" t="s">
        <v>3186</v>
      </c>
      <c r="J286" s="140" t="s">
        <v>3185</v>
      </c>
      <c r="K286" s="141" t="s">
        <v>3189</v>
      </c>
    </row>
    <row r="287" customFormat="false" ht="15" hidden="false" customHeight="false" outlineLevel="0" collapsed="false">
      <c r="B287" s="139" t="n">
        <v>282</v>
      </c>
      <c r="C287" s="140" t="s">
        <v>3484</v>
      </c>
      <c r="D287" s="140" t="s">
        <v>3188</v>
      </c>
      <c r="E287" s="140" t="s">
        <v>3187</v>
      </c>
      <c r="F287" s="140" t="s">
        <v>3186</v>
      </c>
      <c r="G287" s="140" t="s">
        <v>3182</v>
      </c>
      <c r="H287" s="140" t="s">
        <v>3180</v>
      </c>
      <c r="I287" s="140" t="s">
        <v>3184</v>
      </c>
      <c r="J287" s="140" t="s">
        <v>3192</v>
      </c>
      <c r="K287" s="141" t="s">
        <v>3185</v>
      </c>
    </row>
    <row r="288" customFormat="false" ht="15" hidden="false" customHeight="false" outlineLevel="0" collapsed="false">
      <c r="B288" s="139" t="n">
        <v>283</v>
      </c>
      <c r="C288" s="140" t="s">
        <v>3485</v>
      </c>
      <c r="D288" s="140" t="s">
        <v>3188</v>
      </c>
      <c r="E288" s="140" t="s">
        <v>3187</v>
      </c>
      <c r="F288" s="140" t="s">
        <v>3185</v>
      </c>
      <c r="G288" s="140" t="s">
        <v>3182</v>
      </c>
      <c r="H288" s="140" t="s">
        <v>3180</v>
      </c>
      <c r="I288" s="140" t="s">
        <v>3186</v>
      </c>
      <c r="J288" s="140" t="s">
        <v>3184</v>
      </c>
      <c r="K288" s="141" t="s">
        <v>3191</v>
      </c>
    </row>
    <row r="289" customFormat="false" ht="15" hidden="false" customHeight="false" outlineLevel="0" collapsed="false">
      <c r="B289" s="139" t="n">
        <v>284</v>
      </c>
      <c r="C289" s="140" t="s">
        <v>3486</v>
      </c>
      <c r="D289" s="140" t="s">
        <v>3188</v>
      </c>
      <c r="E289" s="140" t="s">
        <v>3187</v>
      </c>
      <c r="F289" s="140" t="s">
        <v>3190</v>
      </c>
      <c r="G289" s="140" t="s">
        <v>3182</v>
      </c>
      <c r="H289" s="140" t="s">
        <v>3180</v>
      </c>
      <c r="I289" s="140" t="s">
        <v>3186</v>
      </c>
      <c r="J289" s="140" t="s">
        <v>3184</v>
      </c>
      <c r="K289" s="141" t="s">
        <v>3185</v>
      </c>
    </row>
    <row r="290" customFormat="false" ht="15" hidden="false" customHeight="false" outlineLevel="0" collapsed="false">
      <c r="B290" s="139" t="n">
        <v>285</v>
      </c>
      <c r="C290" s="140" t="s">
        <v>3487</v>
      </c>
      <c r="D290" s="140" t="s">
        <v>3188</v>
      </c>
      <c r="E290" s="140" t="s">
        <v>3187</v>
      </c>
      <c r="F290" s="140" t="s">
        <v>3185</v>
      </c>
      <c r="G290" s="140" t="s">
        <v>3182</v>
      </c>
      <c r="H290" s="140" t="s">
        <v>3180</v>
      </c>
      <c r="I290" s="140" t="s">
        <v>3186</v>
      </c>
      <c r="J290" s="140" t="s">
        <v>3184</v>
      </c>
      <c r="K290" s="141" t="s">
        <v>3189</v>
      </c>
    </row>
    <row r="291" customFormat="false" ht="15" hidden="false" customHeight="false" outlineLevel="0" collapsed="false">
      <c r="B291" s="139" t="n">
        <v>286</v>
      </c>
      <c r="C291" s="140" t="s">
        <v>3488</v>
      </c>
      <c r="D291" s="140" t="s">
        <v>3188</v>
      </c>
      <c r="E291" s="140" t="s">
        <v>3190</v>
      </c>
      <c r="F291" s="140" t="s">
        <v>3181</v>
      </c>
      <c r="G291" s="140" t="s">
        <v>3180</v>
      </c>
      <c r="H291" s="140" t="s">
        <v>3189</v>
      </c>
      <c r="I291" s="140" t="s">
        <v>3187</v>
      </c>
      <c r="J291" s="140" t="s">
        <v>3192</v>
      </c>
      <c r="K291" s="141" t="s">
        <v>3191</v>
      </c>
    </row>
    <row r="292" customFormat="false" ht="15" hidden="false" customHeight="false" outlineLevel="0" collapsed="false">
      <c r="B292" s="139" t="n">
        <v>287</v>
      </c>
      <c r="C292" s="140" t="s">
        <v>3489</v>
      </c>
      <c r="D292" s="140" t="s">
        <v>3188</v>
      </c>
      <c r="E292" s="140" t="s">
        <v>3190</v>
      </c>
      <c r="F292" s="140" t="s">
        <v>3181</v>
      </c>
      <c r="G292" s="140" t="s">
        <v>3180</v>
      </c>
      <c r="H292" s="140" t="s">
        <v>3189</v>
      </c>
      <c r="I292" s="140" t="s">
        <v>3186</v>
      </c>
      <c r="J292" s="140" t="s">
        <v>3192</v>
      </c>
      <c r="K292" s="141" t="s">
        <v>3191</v>
      </c>
    </row>
    <row r="293" customFormat="false" ht="15" hidden="false" customHeight="false" outlineLevel="0" collapsed="false">
      <c r="B293" s="139" t="n">
        <v>288</v>
      </c>
      <c r="C293" s="140" t="s">
        <v>3490</v>
      </c>
      <c r="D293" s="140" t="s">
        <v>3189</v>
      </c>
      <c r="E293" s="140" t="s">
        <v>3190</v>
      </c>
      <c r="F293" s="140" t="s">
        <v>3181</v>
      </c>
      <c r="G293" s="140" t="s">
        <v>3186</v>
      </c>
      <c r="H293" s="140" t="s">
        <v>3180</v>
      </c>
      <c r="I293" s="140" t="s">
        <v>3187</v>
      </c>
      <c r="J293" s="140" t="s">
        <v>3192</v>
      </c>
      <c r="K293" s="141" t="s">
        <v>3191</v>
      </c>
    </row>
    <row r="294" customFormat="false" ht="15" hidden="false" customHeight="false" outlineLevel="0" collapsed="false">
      <c r="B294" s="139" t="n">
        <v>289</v>
      </c>
      <c r="C294" s="140" t="s">
        <v>3491</v>
      </c>
      <c r="D294" s="140" t="s">
        <v>3188</v>
      </c>
      <c r="E294" s="140" t="s">
        <v>3190</v>
      </c>
      <c r="F294" s="140" t="s">
        <v>3181</v>
      </c>
      <c r="G294" s="140" t="s">
        <v>3186</v>
      </c>
      <c r="H294" s="140" t="s">
        <v>3180</v>
      </c>
      <c r="I294" s="140" t="s">
        <v>3187</v>
      </c>
      <c r="J294" s="140" t="s">
        <v>3192</v>
      </c>
      <c r="K294" s="141" t="s">
        <v>3191</v>
      </c>
    </row>
    <row r="295" customFormat="false" ht="15" hidden="false" customHeight="false" outlineLevel="0" collapsed="false">
      <c r="B295" s="139" t="n">
        <v>290</v>
      </c>
      <c r="C295" s="140" t="s">
        <v>3492</v>
      </c>
      <c r="D295" s="140" t="s">
        <v>3188</v>
      </c>
      <c r="E295" s="140" t="s">
        <v>3187</v>
      </c>
      <c r="F295" s="140" t="s">
        <v>3181</v>
      </c>
      <c r="G295" s="140" t="s">
        <v>3180</v>
      </c>
      <c r="H295" s="140" t="s">
        <v>3189</v>
      </c>
      <c r="I295" s="140" t="s">
        <v>3186</v>
      </c>
      <c r="J295" s="140" t="s">
        <v>3192</v>
      </c>
      <c r="K295" s="141" t="s">
        <v>3191</v>
      </c>
    </row>
    <row r="296" customFormat="false" ht="15" hidden="false" customHeight="false" outlineLevel="0" collapsed="false">
      <c r="B296" s="139" t="n">
        <v>291</v>
      </c>
      <c r="C296" s="140" t="s">
        <v>3493</v>
      </c>
      <c r="D296" s="140" t="s">
        <v>3188</v>
      </c>
      <c r="E296" s="140" t="s">
        <v>3190</v>
      </c>
      <c r="F296" s="140" t="s">
        <v>3181</v>
      </c>
      <c r="G296" s="140" t="s">
        <v>3186</v>
      </c>
      <c r="H296" s="140" t="s">
        <v>3180</v>
      </c>
      <c r="I296" s="140" t="s">
        <v>3187</v>
      </c>
      <c r="J296" s="140" t="s">
        <v>3192</v>
      </c>
      <c r="K296" s="141" t="s">
        <v>3189</v>
      </c>
    </row>
    <row r="297" customFormat="false" ht="15" hidden="false" customHeight="false" outlineLevel="0" collapsed="false">
      <c r="B297" s="139" t="n">
        <v>292</v>
      </c>
      <c r="C297" s="140" t="s">
        <v>3494</v>
      </c>
      <c r="D297" s="140" t="s">
        <v>3188</v>
      </c>
      <c r="E297" s="140" t="s">
        <v>3190</v>
      </c>
      <c r="F297" s="140" t="s">
        <v>3181</v>
      </c>
      <c r="G297" s="140" t="s">
        <v>3186</v>
      </c>
      <c r="H297" s="140" t="s">
        <v>3180</v>
      </c>
      <c r="I297" s="140" t="s">
        <v>3187</v>
      </c>
      <c r="J297" s="140" t="s">
        <v>3189</v>
      </c>
      <c r="K297" s="141" t="s">
        <v>3191</v>
      </c>
    </row>
    <row r="298" customFormat="false" ht="15" hidden="false" customHeight="false" outlineLevel="0" collapsed="false">
      <c r="B298" s="139" t="n">
        <v>293</v>
      </c>
      <c r="C298" s="140" t="s">
        <v>3495</v>
      </c>
      <c r="D298" s="140" t="s">
        <v>3185</v>
      </c>
      <c r="E298" s="140" t="s">
        <v>3190</v>
      </c>
      <c r="F298" s="140" t="s">
        <v>3181</v>
      </c>
      <c r="G298" s="140" t="s">
        <v>3180</v>
      </c>
      <c r="H298" s="140" t="s">
        <v>3189</v>
      </c>
      <c r="I298" s="140" t="s">
        <v>3188</v>
      </c>
      <c r="J298" s="140" t="s">
        <v>3192</v>
      </c>
      <c r="K298" s="141" t="s">
        <v>3191</v>
      </c>
    </row>
    <row r="299" customFormat="false" ht="15" hidden="false" customHeight="false" outlineLevel="0" collapsed="false">
      <c r="B299" s="139" t="n">
        <v>294</v>
      </c>
      <c r="C299" s="140" t="s">
        <v>3496</v>
      </c>
      <c r="D299" s="140" t="s">
        <v>3185</v>
      </c>
      <c r="E299" s="140" t="s">
        <v>3190</v>
      </c>
      <c r="F299" s="140" t="s">
        <v>3181</v>
      </c>
      <c r="G299" s="140" t="s">
        <v>3180</v>
      </c>
      <c r="H299" s="140" t="s">
        <v>3189</v>
      </c>
      <c r="I299" s="140" t="s">
        <v>3187</v>
      </c>
      <c r="J299" s="140" t="s">
        <v>3192</v>
      </c>
      <c r="K299" s="141" t="s">
        <v>3191</v>
      </c>
    </row>
    <row r="300" customFormat="false" ht="15" hidden="false" customHeight="false" outlineLevel="0" collapsed="false">
      <c r="B300" s="139" t="n">
        <v>295</v>
      </c>
      <c r="C300" s="140" t="s">
        <v>3497</v>
      </c>
      <c r="D300" s="140" t="s">
        <v>3185</v>
      </c>
      <c r="E300" s="140" t="s">
        <v>3190</v>
      </c>
      <c r="F300" s="140" t="s">
        <v>3181</v>
      </c>
      <c r="G300" s="140" t="s">
        <v>3180</v>
      </c>
      <c r="H300" s="140" t="s">
        <v>3188</v>
      </c>
      <c r="I300" s="140" t="s">
        <v>3187</v>
      </c>
      <c r="J300" s="140" t="s">
        <v>3192</v>
      </c>
      <c r="K300" s="141" t="s">
        <v>3191</v>
      </c>
    </row>
    <row r="301" customFormat="false" ht="15" hidden="false" customHeight="false" outlineLevel="0" collapsed="false">
      <c r="B301" s="139" t="n">
        <v>296</v>
      </c>
      <c r="C301" s="140" t="s">
        <v>3498</v>
      </c>
      <c r="D301" s="140" t="s">
        <v>3185</v>
      </c>
      <c r="E301" s="140" t="s">
        <v>3187</v>
      </c>
      <c r="F301" s="140" t="s">
        <v>3181</v>
      </c>
      <c r="G301" s="140" t="s">
        <v>3180</v>
      </c>
      <c r="H301" s="140" t="s">
        <v>3189</v>
      </c>
      <c r="I301" s="140" t="s">
        <v>3188</v>
      </c>
      <c r="J301" s="140" t="s">
        <v>3192</v>
      </c>
      <c r="K301" s="141" t="s">
        <v>3191</v>
      </c>
    </row>
    <row r="302" customFormat="false" ht="15" hidden="false" customHeight="false" outlineLevel="0" collapsed="false">
      <c r="B302" s="139" t="n">
        <v>297</v>
      </c>
      <c r="C302" s="140" t="s">
        <v>3499</v>
      </c>
      <c r="D302" s="140" t="s">
        <v>3185</v>
      </c>
      <c r="E302" s="140" t="s">
        <v>3190</v>
      </c>
      <c r="F302" s="140" t="s">
        <v>3181</v>
      </c>
      <c r="G302" s="140" t="s">
        <v>3180</v>
      </c>
      <c r="H302" s="140" t="s">
        <v>3188</v>
      </c>
      <c r="I302" s="140" t="s">
        <v>3187</v>
      </c>
      <c r="J302" s="140" t="s">
        <v>3192</v>
      </c>
      <c r="K302" s="141" t="s">
        <v>3189</v>
      </c>
    </row>
    <row r="303" customFormat="false" ht="15" hidden="false" customHeight="false" outlineLevel="0" collapsed="false">
      <c r="B303" s="139" t="n">
        <v>298</v>
      </c>
      <c r="C303" s="140" t="s">
        <v>3500</v>
      </c>
      <c r="D303" s="140" t="s">
        <v>3185</v>
      </c>
      <c r="E303" s="140" t="s">
        <v>3190</v>
      </c>
      <c r="F303" s="140" t="s">
        <v>3181</v>
      </c>
      <c r="G303" s="140" t="s">
        <v>3180</v>
      </c>
      <c r="H303" s="140" t="s">
        <v>3188</v>
      </c>
      <c r="I303" s="140" t="s">
        <v>3187</v>
      </c>
      <c r="J303" s="140" t="s">
        <v>3189</v>
      </c>
      <c r="K303" s="141" t="s">
        <v>3191</v>
      </c>
    </row>
    <row r="304" customFormat="false" ht="15" hidden="false" customHeight="false" outlineLevel="0" collapsed="false">
      <c r="B304" s="139" t="n">
        <v>299</v>
      </c>
      <c r="C304" s="140" t="s">
        <v>3501</v>
      </c>
      <c r="D304" s="140" t="s">
        <v>3185</v>
      </c>
      <c r="E304" s="140" t="s">
        <v>3190</v>
      </c>
      <c r="F304" s="140" t="s">
        <v>3181</v>
      </c>
      <c r="G304" s="140" t="s">
        <v>3180</v>
      </c>
      <c r="H304" s="140" t="s">
        <v>3189</v>
      </c>
      <c r="I304" s="140" t="s">
        <v>3186</v>
      </c>
      <c r="J304" s="140" t="s">
        <v>3192</v>
      </c>
      <c r="K304" s="141" t="s">
        <v>3191</v>
      </c>
    </row>
    <row r="305" customFormat="false" ht="15" hidden="false" customHeight="false" outlineLevel="0" collapsed="false">
      <c r="B305" s="139" t="n">
        <v>300</v>
      </c>
      <c r="C305" s="140" t="s">
        <v>3502</v>
      </c>
      <c r="D305" s="140" t="s">
        <v>3185</v>
      </c>
      <c r="E305" s="140" t="s">
        <v>3190</v>
      </c>
      <c r="F305" s="140" t="s">
        <v>3181</v>
      </c>
      <c r="G305" s="140" t="s">
        <v>3186</v>
      </c>
      <c r="H305" s="140" t="s">
        <v>3180</v>
      </c>
      <c r="I305" s="140" t="s">
        <v>3188</v>
      </c>
      <c r="J305" s="140" t="s">
        <v>3192</v>
      </c>
      <c r="K305" s="141" t="s">
        <v>3191</v>
      </c>
    </row>
    <row r="306" customFormat="false" ht="15" hidden="false" customHeight="false" outlineLevel="0" collapsed="false">
      <c r="B306" s="139" t="n">
        <v>301</v>
      </c>
      <c r="C306" s="140" t="s">
        <v>3503</v>
      </c>
      <c r="D306" s="140" t="s">
        <v>3185</v>
      </c>
      <c r="E306" s="140" t="s">
        <v>3189</v>
      </c>
      <c r="F306" s="140" t="s">
        <v>3181</v>
      </c>
      <c r="G306" s="140" t="s">
        <v>3186</v>
      </c>
      <c r="H306" s="140" t="s">
        <v>3180</v>
      </c>
      <c r="I306" s="140" t="s">
        <v>3188</v>
      </c>
      <c r="J306" s="140" t="s">
        <v>3192</v>
      </c>
      <c r="K306" s="141" t="s">
        <v>3191</v>
      </c>
    </row>
    <row r="307" customFormat="false" ht="15" hidden="false" customHeight="false" outlineLevel="0" collapsed="false">
      <c r="B307" s="139" t="n">
        <v>302</v>
      </c>
      <c r="C307" s="140" t="s">
        <v>3504</v>
      </c>
      <c r="D307" s="140" t="s">
        <v>3185</v>
      </c>
      <c r="E307" s="140" t="s">
        <v>3190</v>
      </c>
      <c r="F307" s="140" t="s">
        <v>3181</v>
      </c>
      <c r="G307" s="140" t="s">
        <v>3186</v>
      </c>
      <c r="H307" s="140" t="s">
        <v>3180</v>
      </c>
      <c r="I307" s="140" t="s">
        <v>3188</v>
      </c>
      <c r="J307" s="140" t="s">
        <v>3192</v>
      </c>
      <c r="K307" s="141" t="s">
        <v>3189</v>
      </c>
    </row>
    <row r="308" customFormat="false" ht="15" hidden="false" customHeight="false" outlineLevel="0" collapsed="false">
      <c r="B308" s="139" t="n">
        <v>303</v>
      </c>
      <c r="C308" s="140" t="s">
        <v>3505</v>
      </c>
      <c r="D308" s="140" t="s">
        <v>3185</v>
      </c>
      <c r="E308" s="140" t="s">
        <v>3190</v>
      </c>
      <c r="F308" s="140" t="s">
        <v>3181</v>
      </c>
      <c r="G308" s="140" t="s">
        <v>3186</v>
      </c>
      <c r="H308" s="140" t="s">
        <v>3180</v>
      </c>
      <c r="I308" s="140" t="s">
        <v>3188</v>
      </c>
      <c r="J308" s="140" t="s">
        <v>3189</v>
      </c>
      <c r="K308" s="141" t="s">
        <v>3191</v>
      </c>
    </row>
    <row r="309" customFormat="false" ht="15" hidden="false" customHeight="false" outlineLevel="0" collapsed="false">
      <c r="B309" s="139" t="n">
        <v>304</v>
      </c>
      <c r="C309" s="140" t="s">
        <v>3506</v>
      </c>
      <c r="D309" s="140" t="s">
        <v>3185</v>
      </c>
      <c r="E309" s="140" t="s">
        <v>3190</v>
      </c>
      <c r="F309" s="140" t="s">
        <v>3181</v>
      </c>
      <c r="G309" s="140" t="s">
        <v>3186</v>
      </c>
      <c r="H309" s="140" t="s">
        <v>3180</v>
      </c>
      <c r="I309" s="140" t="s">
        <v>3187</v>
      </c>
      <c r="J309" s="140" t="s">
        <v>3192</v>
      </c>
      <c r="K309" s="141" t="s">
        <v>3191</v>
      </c>
    </row>
    <row r="310" customFormat="false" ht="15" hidden="false" customHeight="false" outlineLevel="0" collapsed="false">
      <c r="B310" s="139" t="n">
        <v>305</v>
      </c>
      <c r="C310" s="140" t="s">
        <v>3507</v>
      </c>
      <c r="D310" s="140" t="s">
        <v>3185</v>
      </c>
      <c r="E310" s="140" t="s">
        <v>3187</v>
      </c>
      <c r="F310" s="140" t="s">
        <v>3181</v>
      </c>
      <c r="G310" s="140" t="s">
        <v>3180</v>
      </c>
      <c r="H310" s="140" t="s">
        <v>3189</v>
      </c>
      <c r="I310" s="140" t="s">
        <v>3186</v>
      </c>
      <c r="J310" s="140" t="s">
        <v>3192</v>
      </c>
      <c r="K310" s="141" t="s">
        <v>3191</v>
      </c>
    </row>
    <row r="311" customFormat="false" ht="15" hidden="false" customHeight="false" outlineLevel="0" collapsed="false">
      <c r="B311" s="139" t="n">
        <v>306</v>
      </c>
      <c r="C311" s="140" t="s">
        <v>3508</v>
      </c>
      <c r="D311" s="140" t="s">
        <v>3185</v>
      </c>
      <c r="E311" s="140" t="s">
        <v>3190</v>
      </c>
      <c r="F311" s="140" t="s">
        <v>3181</v>
      </c>
      <c r="G311" s="140" t="s">
        <v>3186</v>
      </c>
      <c r="H311" s="140" t="s">
        <v>3180</v>
      </c>
      <c r="I311" s="140" t="s">
        <v>3187</v>
      </c>
      <c r="J311" s="140" t="s">
        <v>3192</v>
      </c>
      <c r="K311" s="141" t="s">
        <v>3189</v>
      </c>
    </row>
    <row r="312" customFormat="false" ht="15" hidden="false" customHeight="false" outlineLevel="0" collapsed="false">
      <c r="B312" s="139" t="n">
        <v>307</v>
      </c>
      <c r="C312" s="140" t="s">
        <v>3509</v>
      </c>
      <c r="D312" s="140" t="s">
        <v>3185</v>
      </c>
      <c r="E312" s="140" t="s">
        <v>3190</v>
      </c>
      <c r="F312" s="140" t="s">
        <v>3181</v>
      </c>
      <c r="G312" s="140" t="s">
        <v>3186</v>
      </c>
      <c r="H312" s="140" t="s">
        <v>3180</v>
      </c>
      <c r="I312" s="140" t="s">
        <v>3187</v>
      </c>
      <c r="J312" s="140" t="s">
        <v>3189</v>
      </c>
      <c r="K312" s="141" t="s">
        <v>3191</v>
      </c>
    </row>
    <row r="313" customFormat="false" ht="15" hidden="false" customHeight="false" outlineLevel="0" collapsed="false">
      <c r="B313" s="139" t="n">
        <v>308</v>
      </c>
      <c r="C313" s="140" t="s">
        <v>3510</v>
      </c>
      <c r="D313" s="140" t="s">
        <v>3185</v>
      </c>
      <c r="E313" s="140" t="s">
        <v>3187</v>
      </c>
      <c r="F313" s="140" t="s">
        <v>3181</v>
      </c>
      <c r="G313" s="140" t="s">
        <v>3186</v>
      </c>
      <c r="H313" s="140" t="s">
        <v>3180</v>
      </c>
      <c r="I313" s="140" t="s">
        <v>3188</v>
      </c>
      <c r="J313" s="140" t="s">
        <v>3192</v>
      </c>
      <c r="K313" s="141" t="s">
        <v>3191</v>
      </c>
    </row>
    <row r="314" customFormat="false" ht="15" hidden="false" customHeight="false" outlineLevel="0" collapsed="false">
      <c r="B314" s="139" t="n">
        <v>309</v>
      </c>
      <c r="C314" s="140" t="s">
        <v>3511</v>
      </c>
      <c r="D314" s="140" t="s">
        <v>3188</v>
      </c>
      <c r="E314" s="140" t="s">
        <v>3190</v>
      </c>
      <c r="F314" s="140" t="s">
        <v>3181</v>
      </c>
      <c r="G314" s="140" t="s">
        <v>3186</v>
      </c>
      <c r="H314" s="140" t="s">
        <v>3180</v>
      </c>
      <c r="I314" s="140" t="s">
        <v>3187</v>
      </c>
      <c r="J314" s="140" t="s">
        <v>3192</v>
      </c>
      <c r="K314" s="141" t="s">
        <v>3185</v>
      </c>
    </row>
    <row r="315" customFormat="false" ht="15" hidden="false" customHeight="false" outlineLevel="0" collapsed="false">
      <c r="B315" s="139" t="n">
        <v>310</v>
      </c>
      <c r="C315" s="140" t="s">
        <v>3512</v>
      </c>
      <c r="D315" s="140" t="s">
        <v>3188</v>
      </c>
      <c r="E315" s="140" t="s">
        <v>3190</v>
      </c>
      <c r="F315" s="140" t="s">
        <v>3181</v>
      </c>
      <c r="G315" s="140" t="s">
        <v>3186</v>
      </c>
      <c r="H315" s="140" t="s">
        <v>3180</v>
      </c>
      <c r="I315" s="140" t="s">
        <v>3187</v>
      </c>
      <c r="J315" s="140" t="s">
        <v>3185</v>
      </c>
      <c r="K315" s="141" t="s">
        <v>3191</v>
      </c>
    </row>
    <row r="316" customFormat="false" ht="15" hidden="false" customHeight="false" outlineLevel="0" collapsed="false">
      <c r="B316" s="139" t="n">
        <v>311</v>
      </c>
      <c r="C316" s="140" t="s">
        <v>3513</v>
      </c>
      <c r="D316" s="140" t="s">
        <v>3185</v>
      </c>
      <c r="E316" s="140" t="s">
        <v>3187</v>
      </c>
      <c r="F316" s="140" t="s">
        <v>3181</v>
      </c>
      <c r="G316" s="140" t="s">
        <v>3186</v>
      </c>
      <c r="H316" s="140" t="s">
        <v>3180</v>
      </c>
      <c r="I316" s="140" t="s">
        <v>3188</v>
      </c>
      <c r="J316" s="140" t="s">
        <v>3192</v>
      </c>
      <c r="K316" s="141" t="s">
        <v>3189</v>
      </c>
    </row>
    <row r="317" customFormat="false" ht="15" hidden="false" customHeight="false" outlineLevel="0" collapsed="false">
      <c r="B317" s="139" t="n">
        <v>312</v>
      </c>
      <c r="C317" s="140" t="s">
        <v>3514</v>
      </c>
      <c r="D317" s="140" t="s">
        <v>3185</v>
      </c>
      <c r="E317" s="140" t="s">
        <v>3187</v>
      </c>
      <c r="F317" s="140" t="s">
        <v>3181</v>
      </c>
      <c r="G317" s="140" t="s">
        <v>3186</v>
      </c>
      <c r="H317" s="140" t="s">
        <v>3180</v>
      </c>
      <c r="I317" s="140" t="s">
        <v>3188</v>
      </c>
      <c r="J317" s="140" t="s">
        <v>3189</v>
      </c>
      <c r="K317" s="141" t="s">
        <v>3191</v>
      </c>
    </row>
    <row r="318" customFormat="false" ht="15" hidden="false" customHeight="false" outlineLevel="0" collapsed="false">
      <c r="B318" s="139" t="n">
        <v>313</v>
      </c>
      <c r="C318" s="140" t="s">
        <v>3515</v>
      </c>
      <c r="D318" s="140" t="s">
        <v>3188</v>
      </c>
      <c r="E318" s="140" t="s">
        <v>3190</v>
      </c>
      <c r="F318" s="140" t="s">
        <v>3181</v>
      </c>
      <c r="G318" s="140" t="s">
        <v>3186</v>
      </c>
      <c r="H318" s="140" t="s">
        <v>3180</v>
      </c>
      <c r="I318" s="140" t="s">
        <v>3187</v>
      </c>
      <c r="J318" s="140" t="s">
        <v>3185</v>
      </c>
      <c r="K318" s="141" t="s">
        <v>3189</v>
      </c>
    </row>
    <row r="319" customFormat="false" ht="15" hidden="false" customHeight="false" outlineLevel="0" collapsed="false">
      <c r="B319" s="139" t="n">
        <v>314</v>
      </c>
      <c r="C319" s="140" t="s">
        <v>3516</v>
      </c>
      <c r="D319" s="140" t="s">
        <v>3189</v>
      </c>
      <c r="E319" s="140" t="s">
        <v>3190</v>
      </c>
      <c r="F319" s="140" t="s">
        <v>3181</v>
      </c>
      <c r="G319" s="140" t="s">
        <v>3184</v>
      </c>
      <c r="H319" s="140" t="s">
        <v>3180</v>
      </c>
      <c r="I319" s="140" t="s">
        <v>3188</v>
      </c>
      <c r="J319" s="140" t="s">
        <v>3192</v>
      </c>
      <c r="K319" s="141" t="s">
        <v>3191</v>
      </c>
    </row>
    <row r="320" customFormat="false" ht="15" hidden="false" customHeight="false" outlineLevel="0" collapsed="false">
      <c r="B320" s="139" t="n">
        <v>315</v>
      </c>
      <c r="C320" s="140" t="s">
        <v>3517</v>
      </c>
      <c r="D320" s="140" t="s">
        <v>3189</v>
      </c>
      <c r="E320" s="140" t="s">
        <v>3190</v>
      </c>
      <c r="F320" s="140" t="s">
        <v>3181</v>
      </c>
      <c r="G320" s="140" t="s">
        <v>3184</v>
      </c>
      <c r="H320" s="140" t="s">
        <v>3180</v>
      </c>
      <c r="I320" s="140" t="s">
        <v>3187</v>
      </c>
      <c r="J320" s="140" t="s">
        <v>3192</v>
      </c>
      <c r="K320" s="141" t="s">
        <v>3191</v>
      </c>
    </row>
    <row r="321" customFormat="false" ht="15" hidden="false" customHeight="false" outlineLevel="0" collapsed="false">
      <c r="B321" s="139" t="n">
        <v>316</v>
      </c>
      <c r="C321" s="140" t="s">
        <v>3518</v>
      </c>
      <c r="D321" s="140" t="s">
        <v>3188</v>
      </c>
      <c r="E321" s="140" t="s">
        <v>3190</v>
      </c>
      <c r="F321" s="140" t="s">
        <v>3181</v>
      </c>
      <c r="G321" s="140" t="s">
        <v>3184</v>
      </c>
      <c r="H321" s="140" t="s">
        <v>3180</v>
      </c>
      <c r="I321" s="140" t="s">
        <v>3187</v>
      </c>
      <c r="J321" s="140" t="s">
        <v>3192</v>
      </c>
      <c r="K321" s="141" t="s">
        <v>3191</v>
      </c>
    </row>
    <row r="322" customFormat="false" ht="15" hidden="false" customHeight="false" outlineLevel="0" collapsed="false">
      <c r="B322" s="139" t="n">
        <v>317</v>
      </c>
      <c r="C322" s="140" t="s">
        <v>3519</v>
      </c>
      <c r="D322" s="140" t="s">
        <v>3189</v>
      </c>
      <c r="E322" s="140" t="s">
        <v>3187</v>
      </c>
      <c r="F322" s="140" t="s">
        <v>3181</v>
      </c>
      <c r="G322" s="140" t="s">
        <v>3184</v>
      </c>
      <c r="H322" s="140" t="s">
        <v>3180</v>
      </c>
      <c r="I322" s="140" t="s">
        <v>3188</v>
      </c>
      <c r="J322" s="140" t="s">
        <v>3192</v>
      </c>
      <c r="K322" s="141" t="s">
        <v>3191</v>
      </c>
    </row>
    <row r="323" customFormat="false" ht="15" hidden="false" customHeight="false" outlineLevel="0" collapsed="false">
      <c r="B323" s="139" t="n">
        <v>318</v>
      </c>
      <c r="C323" s="140" t="s">
        <v>3520</v>
      </c>
      <c r="D323" s="140" t="s">
        <v>3188</v>
      </c>
      <c r="E323" s="140" t="s">
        <v>3190</v>
      </c>
      <c r="F323" s="140" t="s">
        <v>3181</v>
      </c>
      <c r="G323" s="140" t="s">
        <v>3184</v>
      </c>
      <c r="H323" s="140" t="s">
        <v>3180</v>
      </c>
      <c r="I323" s="140" t="s">
        <v>3187</v>
      </c>
      <c r="J323" s="140" t="s">
        <v>3192</v>
      </c>
      <c r="K323" s="141" t="s">
        <v>3189</v>
      </c>
    </row>
    <row r="324" customFormat="false" ht="15" hidden="false" customHeight="false" outlineLevel="0" collapsed="false">
      <c r="B324" s="139" t="n">
        <v>319</v>
      </c>
      <c r="C324" s="140" t="s">
        <v>3521</v>
      </c>
      <c r="D324" s="140" t="s">
        <v>3188</v>
      </c>
      <c r="E324" s="140" t="s">
        <v>3190</v>
      </c>
      <c r="F324" s="140" t="s">
        <v>3181</v>
      </c>
      <c r="G324" s="140" t="s">
        <v>3184</v>
      </c>
      <c r="H324" s="140" t="s">
        <v>3180</v>
      </c>
      <c r="I324" s="140" t="s">
        <v>3187</v>
      </c>
      <c r="J324" s="140" t="s">
        <v>3189</v>
      </c>
      <c r="K324" s="141" t="s">
        <v>3191</v>
      </c>
    </row>
    <row r="325" customFormat="false" ht="15" hidden="false" customHeight="false" outlineLevel="0" collapsed="false">
      <c r="B325" s="139" t="n">
        <v>320</v>
      </c>
      <c r="C325" s="140" t="s">
        <v>3522</v>
      </c>
      <c r="D325" s="140" t="s">
        <v>3189</v>
      </c>
      <c r="E325" s="140" t="s">
        <v>3190</v>
      </c>
      <c r="F325" s="140" t="s">
        <v>3181</v>
      </c>
      <c r="G325" s="140" t="s">
        <v>3184</v>
      </c>
      <c r="H325" s="140" t="s">
        <v>3180</v>
      </c>
      <c r="I325" s="140" t="s">
        <v>3186</v>
      </c>
      <c r="J325" s="140" t="s">
        <v>3192</v>
      </c>
      <c r="K325" s="141" t="s">
        <v>3191</v>
      </c>
    </row>
    <row r="326" customFormat="false" ht="15" hidden="false" customHeight="false" outlineLevel="0" collapsed="false">
      <c r="B326" s="139" t="n">
        <v>321</v>
      </c>
      <c r="C326" s="140" t="s">
        <v>3523</v>
      </c>
      <c r="D326" s="140" t="s">
        <v>3188</v>
      </c>
      <c r="E326" s="140" t="s">
        <v>3190</v>
      </c>
      <c r="F326" s="140" t="s">
        <v>3181</v>
      </c>
      <c r="G326" s="140" t="s">
        <v>3184</v>
      </c>
      <c r="H326" s="140" t="s">
        <v>3180</v>
      </c>
      <c r="I326" s="140" t="s">
        <v>3186</v>
      </c>
      <c r="J326" s="140" t="s">
        <v>3192</v>
      </c>
      <c r="K326" s="141" t="s">
        <v>3191</v>
      </c>
    </row>
    <row r="327" customFormat="false" ht="15" hidden="false" customHeight="false" outlineLevel="0" collapsed="false">
      <c r="B327" s="139" t="n">
        <v>322</v>
      </c>
      <c r="C327" s="140" t="s">
        <v>3524</v>
      </c>
      <c r="D327" s="140" t="s">
        <v>3188</v>
      </c>
      <c r="E327" s="140" t="s">
        <v>3189</v>
      </c>
      <c r="F327" s="140" t="s">
        <v>3181</v>
      </c>
      <c r="G327" s="140" t="s">
        <v>3184</v>
      </c>
      <c r="H327" s="140" t="s">
        <v>3180</v>
      </c>
      <c r="I327" s="140" t="s">
        <v>3186</v>
      </c>
      <c r="J327" s="140" t="s">
        <v>3192</v>
      </c>
      <c r="K327" s="141" t="s">
        <v>3191</v>
      </c>
    </row>
    <row r="328" customFormat="false" ht="15" hidden="false" customHeight="false" outlineLevel="0" collapsed="false">
      <c r="B328" s="139" t="n">
        <v>323</v>
      </c>
      <c r="C328" s="140" t="s">
        <v>3525</v>
      </c>
      <c r="D328" s="140" t="s">
        <v>3188</v>
      </c>
      <c r="E328" s="140" t="s">
        <v>3190</v>
      </c>
      <c r="F328" s="140" t="s">
        <v>3181</v>
      </c>
      <c r="G328" s="140" t="s">
        <v>3184</v>
      </c>
      <c r="H328" s="140" t="s">
        <v>3180</v>
      </c>
      <c r="I328" s="140" t="s">
        <v>3186</v>
      </c>
      <c r="J328" s="140" t="s">
        <v>3192</v>
      </c>
      <c r="K328" s="141" t="s">
        <v>3189</v>
      </c>
    </row>
    <row r="329" customFormat="false" ht="15" hidden="false" customHeight="false" outlineLevel="0" collapsed="false">
      <c r="B329" s="139" t="n">
        <v>324</v>
      </c>
      <c r="C329" s="140" t="s">
        <v>3526</v>
      </c>
      <c r="D329" s="140" t="s">
        <v>3188</v>
      </c>
      <c r="E329" s="140" t="s">
        <v>3190</v>
      </c>
      <c r="F329" s="140" t="s">
        <v>3181</v>
      </c>
      <c r="G329" s="140" t="s">
        <v>3184</v>
      </c>
      <c r="H329" s="140" t="s">
        <v>3180</v>
      </c>
      <c r="I329" s="140" t="s">
        <v>3186</v>
      </c>
      <c r="J329" s="140" t="s">
        <v>3189</v>
      </c>
      <c r="K329" s="141" t="s">
        <v>3191</v>
      </c>
    </row>
    <row r="330" customFormat="false" ht="15" hidden="false" customHeight="false" outlineLevel="0" collapsed="false">
      <c r="B330" s="139" t="n">
        <v>325</v>
      </c>
      <c r="C330" s="140" t="s">
        <v>3527</v>
      </c>
      <c r="D330" s="140" t="s">
        <v>3186</v>
      </c>
      <c r="E330" s="140" t="s">
        <v>3190</v>
      </c>
      <c r="F330" s="140" t="s">
        <v>3181</v>
      </c>
      <c r="G330" s="140" t="s">
        <v>3184</v>
      </c>
      <c r="H330" s="140" t="s">
        <v>3180</v>
      </c>
      <c r="I330" s="140" t="s">
        <v>3187</v>
      </c>
      <c r="J330" s="140" t="s">
        <v>3192</v>
      </c>
      <c r="K330" s="141" t="s">
        <v>3191</v>
      </c>
    </row>
    <row r="331" customFormat="false" ht="15" hidden="false" customHeight="false" outlineLevel="0" collapsed="false">
      <c r="B331" s="139" t="n">
        <v>326</v>
      </c>
      <c r="C331" s="140" t="s">
        <v>3528</v>
      </c>
      <c r="D331" s="140" t="s">
        <v>3189</v>
      </c>
      <c r="E331" s="140" t="s">
        <v>3187</v>
      </c>
      <c r="F331" s="140" t="s">
        <v>3181</v>
      </c>
      <c r="G331" s="140" t="s">
        <v>3184</v>
      </c>
      <c r="H331" s="140" t="s">
        <v>3180</v>
      </c>
      <c r="I331" s="140" t="s">
        <v>3186</v>
      </c>
      <c r="J331" s="140" t="s">
        <v>3192</v>
      </c>
      <c r="K331" s="141" t="s">
        <v>3191</v>
      </c>
    </row>
    <row r="332" customFormat="false" ht="15" hidden="false" customHeight="false" outlineLevel="0" collapsed="false">
      <c r="B332" s="139" t="n">
        <v>327</v>
      </c>
      <c r="C332" s="140" t="s">
        <v>3529</v>
      </c>
      <c r="D332" s="140" t="s">
        <v>3186</v>
      </c>
      <c r="E332" s="140" t="s">
        <v>3190</v>
      </c>
      <c r="F332" s="140" t="s">
        <v>3181</v>
      </c>
      <c r="G332" s="140" t="s">
        <v>3184</v>
      </c>
      <c r="H332" s="140" t="s">
        <v>3180</v>
      </c>
      <c r="I332" s="140" t="s">
        <v>3187</v>
      </c>
      <c r="J332" s="140" t="s">
        <v>3192</v>
      </c>
      <c r="K332" s="141" t="s">
        <v>3189</v>
      </c>
    </row>
    <row r="333" customFormat="false" ht="15" hidden="false" customHeight="false" outlineLevel="0" collapsed="false">
      <c r="B333" s="139" t="n">
        <v>328</v>
      </c>
      <c r="C333" s="140" t="s">
        <v>3530</v>
      </c>
      <c r="D333" s="140" t="s">
        <v>3186</v>
      </c>
      <c r="E333" s="140" t="s">
        <v>3190</v>
      </c>
      <c r="F333" s="140" t="s">
        <v>3181</v>
      </c>
      <c r="G333" s="140" t="s">
        <v>3184</v>
      </c>
      <c r="H333" s="140" t="s">
        <v>3180</v>
      </c>
      <c r="I333" s="140" t="s">
        <v>3187</v>
      </c>
      <c r="J333" s="140" t="s">
        <v>3189</v>
      </c>
      <c r="K333" s="141" t="s">
        <v>3191</v>
      </c>
    </row>
    <row r="334" customFormat="false" ht="15" hidden="false" customHeight="false" outlineLevel="0" collapsed="false">
      <c r="B334" s="139" t="n">
        <v>329</v>
      </c>
      <c r="C334" s="140" t="s">
        <v>3531</v>
      </c>
      <c r="D334" s="140" t="s">
        <v>3188</v>
      </c>
      <c r="E334" s="140" t="s">
        <v>3187</v>
      </c>
      <c r="F334" s="140" t="s">
        <v>3181</v>
      </c>
      <c r="G334" s="140" t="s">
        <v>3184</v>
      </c>
      <c r="H334" s="140" t="s">
        <v>3180</v>
      </c>
      <c r="I334" s="140" t="s">
        <v>3186</v>
      </c>
      <c r="J334" s="140" t="s">
        <v>3192</v>
      </c>
      <c r="K334" s="141" t="s">
        <v>3191</v>
      </c>
    </row>
    <row r="335" customFormat="false" ht="15" hidden="false" customHeight="false" outlineLevel="0" collapsed="false">
      <c r="B335" s="139" t="n">
        <v>330</v>
      </c>
      <c r="C335" s="140" t="s">
        <v>3532</v>
      </c>
      <c r="D335" s="140" t="s">
        <v>3188</v>
      </c>
      <c r="E335" s="140" t="s">
        <v>3187</v>
      </c>
      <c r="F335" s="140" t="s">
        <v>3181</v>
      </c>
      <c r="G335" s="140" t="s">
        <v>3184</v>
      </c>
      <c r="H335" s="140" t="s">
        <v>3180</v>
      </c>
      <c r="I335" s="140" t="s">
        <v>3186</v>
      </c>
      <c r="J335" s="140" t="s">
        <v>3192</v>
      </c>
      <c r="K335" s="141" t="s">
        <v>3190</v>
      </c>
    </row>
    <row r="336" customFormat="false" ht="15" hidden="false" customHeight="false" outlineLevel="0" collapsed="false">
      <c r="B336" s="139" t="n">
        <v>331</v>
      </c>
      <c r="C336" s="140" t="s">
        <v>3533</v>
      </c>
      <c r="D336" s="140" t="s">
        <v>3188</v>
      </c>
      <c r="E336" s="140" t="s">
        <v>3187</v>
      </c>
      <c r="F336" s="140" t="s">
        <v>3181</v>
      </c>
      <c r="G336" s="140" t="s">
        <v>3184</v>
      </c>
      <c r="H336" s="140" t="s">
        <v>3180</v>
      </c>
      <c r="I336" s="140" t="s">
        <v>3186</v>
      </c>
      <c r="J336" s="140" t="s">
        <v>3190</v>
      </c>
      <c r="K336" s="141" t="s">
        <v>3191</v>
      </c>
    </row>
    <row r="337" customFormat="false" ht="15" hidden="false" customHeight="false" outlineLevel="0" collapsed="false">
      <c r="B337" s="139" t="n">
        <v>332</v>
      </c>
      <c r="C337" s="140" t="s">
        <v>3534</v>
      </c>
      <c r="D337" s="140" t="s">
        <v>3188</v>
      </c>
      <c r="E337" s="140" t="s">
        <v>3187</v>
      </c>
      <c r="F337" s="140" t="s">
        <v>3181</v>
      </c>
      <c r="G337" s="140" t="s">
        <v>3184</v>
      </c>
      <c r="H337" s="140" t="s">
        <v>3180</v>
      </c>
      <c r="I337" s="140" t="s">
        <v>3186</v>
      </c>
      <c r="J337" s="140" t="s">
        <v>3192</v>
      </c>
      <c r="K337" s="141" t="s">
        <v>3189</v>
      </c>
    </row>
    <row r="338" customFormat="false" ht="15" hidden="false" customHeight="false" outlineLevel="0" collapsed="false">
      <c r="B338" s="139" t="n">
        <v>333</v>
      </c>
      <c r="C338" s="140" t="s">
        <v>3535</v>
      </c>
      <c r="D338" s="140" t="s">
        <v>3188</v>
      </c>
      <c r="E338" s="140" t="s">
        <v>3187</v>
      </c>
      <c r="F338" s="140" t="s">
        <v>3181</v>
      </c>
      <c r="G338" s="140" t="s">
        <v>3184</v>
      </c>
      <c r="H338" s="140" t="s">
        <v>3180</v>
      </c>
      <c r="I338" s="140" t="s">
        <v>3186</v>
      </c>
      <c r="J338" s="140" t="s">
        <v>3189</v>
      </c>
      <c r="K338" s="141" t="s">
        <v>3191</v>
      </c>
    </row>
    <row r="339" customFormat="false" ht="15" hidden="false" customHeight="false" outlineLevel="0" collapsed="false">
      <c r="B339" s="139" t="n">
        <v>334</v>
      </c>
      <c r="C339" s="140" t="s">
        <v>3536</v>
      </c>
      <c r="D339" s="140" t="s">
        <v>3188</v>
      </c>
      <c r="E339" s="140" t="s">
        <v>3187</v>
      </c>
      <c r="F339" s="140" t="s">
        <v>3181</v>
      </c>
      <c r="G339" s="140" t="s">
        <v>3184</v>
      </c>
      <c r="H339" s="140" t="s">
        <v>3180</v>
      </c>
      <c r="I339" s="140" t="s">
        <v>3186</v>
      </c>
      <c r="J339" s="140" t="s">
        <v>3189</v>
      </c>
      <c r="K339" s="141" t="s">
        <v>3190</v>
      </c>
    </row>
    <row r="340" customFormat="false" ht="15" hidden="false" customHeight="false" outlineLevel="0" collapsed="false">
      <c r="B340" s="139" t="n">
        <v>335</v>
      </c>
      <c r="C340" s="140" t="s">
        <v>3537</v>
      </c>
      <c r="D340" s="140" t="s">
        <v>3185</v>
      </c>
      <c r="E340" s="140" t="s">
        <v>3190</v>
      </c>
      <c r="F340" s="140" t="s">
        <v>3181</v>
      </c>
      <c r="G340" s="140" t="s">
        <v>3180</v>
      </c>
      <c r="H340" s="140" t="s">
        <v>3189</v>
      </c>
      <c r="I340" s="140" t="s">
        <v>3184</v>
      </c>
      <c r="J340" s="140" t="s">
        <v>3192</v>
      </c>
      <c r="K340" s="141" t="s">
        <v>3191</v>
      </c>
    </row>
    <row r="341" customFormat="false" ht="15" hidden="false" customHeight="false" outlineLevel="0" collapsed="false">
      <c r="B341" s="139" t="n">
        <v>336</v>
      </c>
      <c r="C341" s="140" t="s">
        <v>3538</v>
      </c>
      <c r="D341" s="140" t="s">
        <v>3185</v>
      </c>
      <c r="E341" s="140" t="s">
        <v>3190</v>
      </c>
      <c r="F341" s="140" t="s">
        <v>3181</v>
      </c>
      <c r="G341" s="140" t="s">
        <v>3184</v>
      </c>
      <c r="H341" s="140" t="s">
        <v>3180</v>
      </c>
      <c r="I341" s="140" t="s">
        <v>3188</v>
      </c>
      <c r="J341" s="140" t="s">
        <v>3192</v>
      </c>
      <c r="K341" s="141" t="s">
        <v>3191</v>
      </c>
    </row>
    <row r="342" customFormat="false" ht="15" hidden="false" customHeight="false" outlineLevel="0" collapsed="false">
      <c r="B342" s="139" t="n">
        <v>337</v>
      </c>
      <c r="C342" s="140" t="s">
        <v>3539</v>
      </c>
      <c r="D342" s="140" t="s">
        <v>3185</v>
      </c>
      <c r="E342" s="140" t="s">
        <v>3189</v>
      </c>
      <c r="F342" s="140" t="s">
        <v>3181</v>
      </c>
      <c r="G342" s="140" t="s">
        <v>3184</v>
      </c>
      <c r="H342" s="140" t="s">
        <v>3180</v>
      </c>
      <c r="I342" s="140" t="s">
        <v>3188</v>
      </c>
      <c r="J342" s="140" t="s">
        <v>3192</v>
      </c>
      <c r="K342" s="141" t="s">
        <v>3191</v>
      </c>
    </row>
    <row r="343" customFormat="false" ht="15" hidden="false" customHeight="false" outlineLevel="0" collapsed="false">
      <c r="B343" s="139" t="n">
        <v>338</v>
      </c>
      <c r="C343" s="140" t="s">
        <v>3540</v>
      </c>
      <c r="D343" s="140" t="s">
        <v>3185</v>
      </c>
      <c r="E343" s="140" t="s">
        <v>3190</v>
      </c>
      <c r="F343" s="140" t="s">
        <v>3181</v>
      </c>
      <c r="G343" s="140" t="s">
        <v>3184</v>
      </c>
      <c r="H343" s="140" t="s">
        <v>3180</v>
      </c>
      <c r="I343" s="140" t="s">
        <v>3188</v>
      </c>
      <c r="J343" s="140" t="s">
        <v>3192</v>
      </c>
      <c r="K343" s="141" t="s">
        <v>3189</v>
      </c>
    </row>
    <row r="344" customFormat="false" ht="15" hidden="false" customHeight="false" outlineLevel="0" collapsed="false">
      <c r="B344" s="139" t="n">
        <v>339</v>
      </c>
      <c r="C344" s="140" t="s">
        <v>3541</v>
      </c>
      <c r="D344" s="140" t="s">
        <v>3185</v>
      </c>
      <c r="E344" s="140" t="s">
        <v>3190</v>
      </c>
      <c r="F344" s="140" t="s">
        <v>3181</v>
      </c>
      <c r="G344" s="140" t="s">
        <v>3184</v>
      </c>
      <c r="H344" s="140" t="s">
        <v>3180</v>
      </c>
      <c r="I344" s="140" t="s">
        <v>3188</v>
      </c>
      <c r="J344" s="140" t="s">
        <v>3189</v>
      </c>
      <c r="K344" s="141" t="s">
        <v>3191</v>
      </c>
    </row>
    <row r="345" customFormat="false" ht="15" hidden="false" customHeight="false" outlineLevel="0" collapsed="false">
      <c r="B345" s="139" t="n">
        <v>340</v>
      </c>
      <c r="C345" s="140" t="s">
        <v>3542</v>
      </c>
      <c r="D345" s="140" t="s">
        <v>3185</v>
      </c>
      <c r="E345" s="140" t="s">
        <v>3190</v>
      </c>
      <c r="F345" s="140" t="s">
        <v>3181</v>
      </c>
      <c r="G345" s="140" t="s">
        <v>3184</v>
      </c>
      <c r="H345" s="140" t="s">
        <v>3180</v>
      </c>
      <c r="I345" s="140" t="s">
        <v>3187</v>
      </c>
      <c r="J345" s="140" t="s">
        <v>3192</v>
      </c>
      <c r="K345" s="141" t="s">
        <v>3191</v>
      </c>
    </row>
    <row r="346" customFormat="false" ht="15" hidden="false" customHeight="false" outlineLevel="0" collapsed="false">
      <c r="B346" s="139" t="n">
        <v>341</v>
      </c>
      <c r="C346" s="140" t="s">
        <v>3543</v>
      </c>
      <c r="D346" s="140" t="s">
        <v>3185</v>
      </c>
      <c r="E346" s="140" t="s">
        <v>3187</v>
      </c>
      <c r="F346" s="140" t="s">
        <v>3181</v>
      </c>
      <c r="G346" s="140" t="s">
        <v>3180</v>
      </c>
      <c r="H346" s="140" t="s">
        <v>3189</v>
      </c>
      <c r="I346" s="140" t="s">
        <v>3184</v>
      </c>
      <c r="J346" s="140" t="s">
        <v>3192</v>
      </c>
      <c r="K346" s="141" t="s">
        <v>3191</v>
      </c>
    </row>
    <row r="347" customFormat="false" ht="15" hidden="false" customHeight="false" outlineLevel="0" collapsed="false">
      <c r="B347" s="139" t="n">
        <v>342</v>
      </c>
      <c r="C347" s="140" t="s">
        <v>3544</v>
      </c>
      <c r="D347" s="140" t="s">
        <v>3185</v>
      </c>
      <c r="E347" s="140" t="s">
        <v>3190</v>
      </c>
      <c r="F347" s="140" t="s">
        <v>3181</v>
      </c>
      <c r="G347" s="140" t="s">
        <v>3184</v>
      </c>
      <c r="H347" s="140" t="s">
        <v>3180</v>
      </c>
      <c r="I347" s="140" t="s">
        <v>3187</v>
      </c>
      <c r="J347" s="140" t="s">
        <v>3192</v>
      </c>
      <c r="K347" s="141" t="s">
        <v>3189</v>
      </c>
    </row>
    <row r="348" customFormat="false" ht="15" hidden="false" customHeight="false" outlineLevel="0" collapsed="false">
      <c r="B348" s="139" t="n">
        <v>343</v>
      </c>
      <c r="C348" s="140" t="s">
        <v>3545</v>
      </c>
      <c r="D348" s="140" t="s">
        <v>3185</v>
      </c>
      <c r="E348" s="140" t="s">
        <v>3190</v>
      </c>
      <c r="F348" s="140" t="s">
        <v>3181</v>
      </c>
      <c r="G348" s="140" t="s">
        <v>3184</v>
      </c>
      <c r="H348" s="140" t="s">
        <v>3180</v>
      </c>
      <c r="I348" s="140" t="s">
        <v>3187</v>
      </c>
      <c r="J348" s="140" t="s">
        <v>3189</v>
      </c>
      <c r="K348" s="141" t="s">
        <v>3191</v>
      </c>
    </row>
    <row r="349" customFormat="false" ht="15" hidden="false" customHeight="false" outlineLevel="0" collapsed="false">
      <c r="B349" s="139" t="n">
        <v>344</v>
      </c>
      <c r="C349" s="140" t="s">
        <v>3546</v>
      </c>
      <c r="D349" s="140" t="s">
        <v>3185</v>
      </c>
      <c r="E349" s="140" t="s">
        <v>3187</v>
      </c>
      <c r="F349" s="140" t="s">
        <v>3181</v>
      </c>
      <c r="G349" s="140" t="s">
        <v>3184</v>
      </c>
      <c r="H349" s="140" t="s">
        <v>3180</v>
      </c>
      <c r="I349" s="140" t="s">
        <v>3188</v>
      </c>
      <c r="J349" s="140" t="s">
        <v>3192</v>
      </c>
      <c r="K349" s="141" t="s">
        <v>3191</v>
      </c>
    </row>
    <row r="350" customFormat="false" ht="15" hidden="false" customHeight="false" outlineLevel="0" collapsed="false">
      <c r="B350" s="139" t="n">
        <v>345</v>
      </c>
      <c r="C350" s="140" t="s">
        <v>3547</v>
      </c>
      <c r="D350" s="140" t="s">
        <v>3188</v>
      </c>
      <c r="E350" s="140" t="s">
        <v>3190</v>
      </c>
      <c r="F350" s="140" t="s">
        <v>3181</v>
      </c>
      <c r="G350" s="140" t="s">
        <v>3184</v>
      </c>
      <c r="H350" s="140" t="s">
        <v>3180</v>
      </c>
      <c r="I350" s="140" t="s">
        <v>3187</v>
      </c>
      <c r="J350" s="140" t="s">
        <v>3192</v>
      </c>
      <c r="K350" s="141" t="s">
        <v>3185</v>
      </c>
    </row>
    <row r="351" customFormat="false" ht="15" hidden="false" customHeight="false" outlineLevel="0" collapsed="false">
      <c r="B351" s="139" t="n">
        <v>346</v>
      </c>
      <c r="C351" s="140" t="s">
        <v>3548</v>
      </c>
      <c r="D351" s="140" t="s">
        <v>3188</v>
      </c>
      <c r="E351" s="140" t="s">
        <v>3190</v>
      </c>
      <c r="F351" s="140" t="s">
        <v>3181</v>
      </c>
      <c r="G351" s="140" t="s">
        <v>3184</v>
      </c>
      <c r="H351" s="140" t="s">
        <v>3180</v>
      </c>
      <c r="I351" s="140" t="s">
        <v>3187</v>
      </c>
      <c r="J351" s="140" t="s">
        <v>3185</v>
      </c>
      <c r="K351" s="141" t="s">
        <v>3191</v>
      </c>
    </row>
    <row r="352" customFormat="false" ht="15" hidden="false" customHeight="false" outlineLevel="0" collapsed="false">
      <c r="B352" s="139" t="n">
        <v>347</v>
      </c>
      <c r="C352" s="140" t="s">
        <v>3549</v>
      </c>
      <c r="D352" s="140" t="s">
        <v>3185</v>
      </c>
      <c r="E352" s="140" t="s">
        <v>3187</v>
      </c>
      <c r="F352" s="140" t="s">
        <v>3181</v>
      </c>
      <c r="G352" s="140" t="s">
        <v>3184</v>
      </c>
      <c r="H352" s="140" t="s">
        <v>3180</v>
      </c>
      <c r="I352" s="140" t="s">
        <v>3188</v>
      </c>
      <c r="J352" s="140" t="s">
        <v>3192</v>
      </c>
      <c r="K352" s="141" t="s">
        <v>3189</v>
      </c>
    </row>
    <row r="353" customFormat="false" ht="15" hidden="false" customHeight="false" outlineLevel="0" collapsed="false">
      <c r="B353" s="139" t="n">
        <v>348</v>
      </c>
      <c r="C353" s="140" t="s">
        <v>3550</v>
      </c>
      <c r="D353" s="140" t="s">
        <v>3185</v>
      </c>
      <c r="E353" s="140" t="s">
        <v>3187</v>
      </c>
      <c r="F353" s="140" t="s">
        <v>3181</v>
      </c>
      <c r="G353" s="140" t="s">
        <v>3184</v>
      </c>
      <c r="H353" s="140" t="s">
        <v>3180</v>
      </c>
      <c r="I353" s="140" t="s">
        <v>3188</v>
      </c>
      <c r="J353" s="140" t="s">
        <v>3189</v>
      </c>
      <c r="K353" s="141" t="s">
        <v>3191</v>
      </c>
    </row>
    <row r="354" customFormat="false" ht="15" hidden="false" customHeight="false" outlineLevel="0" collapsed="false">
      <c r="B354" s="139" t="n">
        <v>349</v>
      </c>
      <c r="C354" s="140" t="s">
        <v>3551</v>
      </c>
      <c r="D354" s="140" t="s">
        <v>3188</v>
      </c>
      <c r="E354" s="140" t="s">
        <v>3190</v>
      </c>
      <c r="F354" s="140" t="s">
        <v>3181</v>
      </c>
      <c r="G354" s="140" t="s">
        <v>3184</v>
      </c>
      <c r="H354" s="140" t="s">
        <v>3180</v>
      </c>
      <c r="I354" s="140" t="s">
        <v>3187</v>
      </c>
      <c r="J354" s="140" t="s">
        <v>3185</v>
      </c>
      <c r="K354" s="141" t="s">
        <v>3189</v>
      </c>
    </row>
    <row r="355" customFormat="false" ht="15" hidden="false" customHeight="false" outlineLevel="0" collapsed="false">
      <c r="B355" s="139" t="n">
        <v>350</v>
      </c>
      <c r="C355" s="140" t="s">
        <v>3552</v>
      </c>
      <c r="D355" s="140" t="s">
        <v>3185</v>
      </c>
      <c r="E355" s="140" t="s">
        <v>3190</v>
      </c>
      <c r="F355" s="140" t="s">
        <v>3181</v>
      </c>
      <c r="G355" s="140" t="s">
        <v>3184</v>
      </c>
      <c r="H355" s="140" t="s">
        <v>3180</v>
      </c>
      <c r="I355" s="140" t="s">
        <v>3186</v>
      </c>
      <c r="J355" s="140" t="s">
        <v>3192</v>
      </c>
      <c r="K355" s="141" t="s">
        <v>3191</v>
      </c>
    </row>
    <row r="356" customFormat="false" ht="15" hidden="false" customHeight="false" outlineLevel="0" collapsed="false">
      <c r="B356" s="139" t="n">
        <v>351</v>
      </c>
      <c r="C356" s="140" t="s">
        <v>3553</v>
      </c>
      <c r="D356" s="140" t="s">
        <v>3185</v>
      </c>
      <c r="E356" s="140" t="s">
        <v>3189</v>
      </c>
      <c r="F356" s="140" t="s">
        <v>3181</v>
      </c>
      <c r="G356" s="140" t="s">
        <v>3184</v>
      </c>
      <c r="H356" s="140" t="s">
        <v>3180</v>
      </c>
      <c r="I356" s="140" t="s">
        <v>3186</v>
      </c>
      <c r="J356" s="140" t="s">
        <v>3192</v>
      </c>
      <c r="K356" s="141" t="s">
        <v>3191</v>
      </c>
    </row>
    <row r="357" customFormat="false" ht="15" hidden="false" customHeight="false" outlineLevel="0" collapsed="false">
      <c r="B357" s="139" t="n">
        <v>352</v>
      </c>
      <c r="C357" s="140" t="s">
        <v>3554</v>
      </c>
      <c r="D357" s="140" t="s">
        <v>3185</v>
      </c>
      <c r="E357" s="140" t="s">
        <v>3190</v>
      </c>
      <c r="F357" s="140" t="s">
        <v>3181</v>
      </c>
      <c r="G357" s="140" t="s">
        <v>3184</v>
      </c>
      <c r="H357" s="140" t="s">
        <v>3180</v>
      </c>
      <c r="I357" s="140" t="s">
        <v>3186</v>
      </c>
      <c r="J357" s="140" t="s">
        <v>3192</v>
      </c>
      <c r="K357" s="141" t="s">
        <v>3189</v>
      </c>
    </row>
    <row r="358" customFormat="false" ht="15" hidden="false" customHeight="false" outlineLevel="0" collapsed="false">
      <c r="B358" s="139" t="n">
        <v>353</v>
      </c>
      <c r="C358" s="140" t="s">
        <v>3555</v>
      </c>
      <c r="D358" s="140" t="s">
        <v>3185</v>
      </c>
      <c r="E358" s="140" t="s">
        <v>3190</v>
      </c>
      <c r="F358" s="140" t="s">
        <v>3181</v>
      </c>
      <c r="G358" s="140" t="s">
        <v>3184</v>
      </c>
      <c r="H358" s="140" t="s">
        <v>3180</v>
      </c>
      <c r="I358" s="140" t="s">
        <v>3186</v>
      </c>
      <c r="J358" s="140" t="s">
        <v>3189</v>
      </c>
      <c r="K358" s="141" t="s">
        <v>3191</v>
      </c>
    </row>
    <row r="359" customFormat="false" ht="15" hidden="false" customHeight="false" outlineLevel="0" collapsed="false">
      <c r="B359" s="139" t="n">
        <v>354</v>
      </c>
      <c r="C359" s="140" t="s">
        <v>3556</v>
      </c>
      <c r="D359" s="140" t="s">
        <v>3188</v>
      </c>
      <c r="E359" s="140" t="s">
        <v>3185</v>
      </c>
      <c r="F359" s="140" t="s">
        <v>3181</v>
      </c>
      <c r="G359" s="140" t="s">
        <v>3184</v>
      </c>
      <c r="H359" s="140" t="s">
        <v>3180</v>
      </c>
      <c r="I359" s="140" t="s">
        <v>3186</v>
      </c>
      <c r="J359" s="140" t="s">
        <v>3192</v>
      </c>
      <c r="K359" s="141" t="s">
        <v>3191</v>
      </c>
    </row>
    <row r="360" customFormat="false" ht="15" hidden="false" customHeight="false" outlineLevel="0" collapsed="false">
      <c r="B360" s="139" t="n">
        <v>355</v>
      </c>
      <c r="C360" s="140" t="s">
        <v>3557</v>
      </c>
      <c r="D360" s="140" t="s">
        <v>3188</v>
      </c>
      <c r="E360" s="140" t="s">
        <v>3190</v>
      </c>
      <c r="F360" s="140" t="s">
        <v>3181</v>
      </c>
      <c r="G360" s="140" t="s">
        <v>3184</v>
      </c>
      <c r="H360" s="140" t="s">
        <v>3180</v>
      </c>
      <c r="I360" s="140" t="s">
        <v>3186</v>
      </c>
      <c r="J360" s="140" t="s">
        <v>3192</v>
      </c>
      <c r="K360" s="141" t="s">
        <v>3185</v>
      </c>
    </row>
    <row r="361" customFormat="false" ht="15" hidden="false" customHeight="false" outlineLevel="0" collapsed="false">
      <c r="B361" s="139" t="n">
        <v>356</v>
      </c>
      <c r="C361" s="140" t="s">
        <v>3558</v>
      </c>
      <c r="D361" s="140" t="s">
        <v>3188</v>
      </c>
      <c r="E361" s="140" t="s">
        <v>3190</v>
      </c>
      <c r="F361" s="140" t="s">
        <v>3181</v>
      </c>
      <c r="G361" s="140" t="s">
        <v>3184</v>
      </c>
      <c r="H361" s="140" t="s">
        <v>3180</v>
      </c>
      <c r="I361" s="140" t="s">
        <v>3186</v>
      </c>
      <c r="J361" s="140" t="s">
        <v>3185</v>
      </c>
      <c r="K361" s="141" t="s">
        <v>3191</v>
      </c>
    </row>
    <row r="362" customFormat="false" ht="15" hidden="false" customHeight="false" outlineLevel="0" collapsed="false">
      <c r="B362" s="139" t="n">
        <v>357</v>
      </c>
      <c r="C362" s="140" t="s">
        <v>3559</v>
      </c>
      <c r="D362" s="140" t="s">
        <v>3188</v>
      </c>
      <c r="E362" s="140" t="s">
        <v>3185</v>
      </c>
      <c r="F362" s="140" t="s">
        <v>3181</v>
      </c>
      <c r="G362" s="140" t="s">
        <v>3184</v>
      </c>
      <c r="H362" s="140" t="s">
        <v>3180</v>
      </c>
      <c r="I362" s="140" t="s">
        <v>3186</v>
      </c>
      <c r="J362" s="140" t="s">
        <v>3192</v>
      </c>
      <c r="K362" s="141" t="s">
        <v>3189</v>
      </c>
    </row>
    <row r="363" customFormat="false" ht="15" hidden="false" customHeight="false" outlineLevel="0" collapsed="false">
      <c r="B363" s="139" t="n">
        <v>358</v>
      </c>
      <c r="C363" s="140" t="s">
        <v>3560</v>
      </c>
      <c r="D363" s="140" t="s">
        <v>3188</v>
      </c>
      <c r="E363" s="140" t="s">
        <v>3185</v>
      </c>
      <c r="F363" s="140" t="s">
        <v>3181</v>
      </c>
      <c r="G363" s="140" t="s">
        <v>3184</v>
      </c>
      <c r="H363" s="140" t="s">
        <v>3180</v>
      </c>
      <c r="I363" s="140" t="s">
        <v>3186</v>
      </c>
      <c r="J363" s="140" t="s">
        <v>3189</v>
      </c>
      <c r="K363" s="141" t="s">
        <v>3191</v>
      </c>
    </row>
    <row r="364" customFormat="false" ht="15" hidden="false" customHeight="false" outlineLevel="0" collapsed="false">
      <c r="B364" s="139" t="n">
        <v>359</v>
      </c>
      <c r="C364" s="140" t="s">
        <v>3561</v>
      </c>
      <c r="D364" s="140" t="s">
        <v>3188</v>
      </c>
      <c r="E364" s="140" t="s">
        <v>3190</v>
      </c>
      <c r="F364" s="140" t="s">
        <v>3181</v>
      </c>
      <c r="G364" s="140" t="s">
        <v>3184</v>
      </c>
      <c r="H364" s="140" t="s">
        <v>3180</v>
      </c>
      <c r="I364" s="140" t="s">
        <v>3186</v>
      </c>
      <c r="J364" s="140" t="s">
        <v>3185</v>
      </c>
      <c r="K364" s="141" t="s">
        <v>3189</v>
      </c>
    </row>
    <row r="365" customFormat="false" ht="15" hidden="false" customHeight="false" outlineLevel="0" collapsed="false">
      <c r="B365" s="139" t="n">
        <v>360</v>
      </c>
      <c r="C365" s="140" t="s">
        <v>3562</v>
      </c>
      <c r="D365" s="140" t="s">
        <v>3185</v>
      </c>
      <c r="E365" s="140" t="s">
        <v>3187</v>
      </c>
      <c r="F365" s="140" t="s">
        <v>3181</v>
      </c>
      <c r="G365" s="140" t="s">
        <v>3184</v>
      </c>
      <c r="H365" s="140" t="s">
        <v>3180</v>
      </c>
      <c r="I365" s="140" t="s">
        <v>3186</v>
      </c>
      <c r="J365" s="140" t="s">
        <v>3192</v>
      </c>
      <c r="K365" s="141" t="s">
        <v>3191</v>
      </c>
    </row>
    <row r="366" customFormat="false" ht="15" hidden="false" customHeight="false" outlineLevel="0" collapsed="false">
      <c r="B366" s="139" t="n">
        <v>361</v>
      </c>
      <c r="C366" s="140" t="s">
        <v>3563</v>
      </c>
      <c r="D366" s="140" t="s">
        <v>3185</v>
      </c>
      <c r="E366" s="140" t="s">
        <v>3187</v>
      </c>
      <c r="F366" s="140" t="s">
        <v>3181</v>
      </c>
      <c r="G366" s="140" t="s">
        <v>3184</v>
      </c>
      <c r="H366" s="140" t="s">
        <v>3180</v>
      </c>
      <c r="I366" s="140" t="s">
        <v>3186</v>
      </c>
      <c r="J366" s="140" t="s">
        <v>3192</v>
      </c>
      <c r="K366" s="141" t="s">
        <v>3190</v>
      </c>
    </row>
    <row r="367" customFormat="false" ht="15" hidden="false" customHeight="false" outlineLevel="0" collapsed="false">
      <c r="B367" s="139" t="n">
        <v>362</v>
      </c>
      <c r="C367" s="140" t="s">
        <v>3564</v>
      </c>
      <c r="D367" s="140" t="s">
        <v>3185</v>
      </c>
      <c r="E367" s="140" t="s">
        <v>3187</v>
      </c>
      <c r="F367" s="140" t="s">
        <v>3181</v>
      </c>
      <c r="G367" s="140" t="s">
        <v>3184</v>
      </c>
      <c r="H367" s="140" t="s">
        <v>3180</v>
      </c>
      <c r="I367" s="140" t="s">
        <v>3186</v>
      </c>
      <c r="J367" s="140" t="s">
        <v>3190</v>
      </c>
      <c r="K367" s="141" t="s">
        <v>3191</v>
      </c>
    </row>
    <row r="368" customFormat="false" ht="15" hidden="false" customHeight="false" outlineLevel="0" collapsed="false">
      <c r="B368" s="139" t="n">
        <v>363</v>
      </c>
      <c r="C368" s="140" t="s">
        <v>3565</v>
      </c>
      <c r="D368" s="140" t="s">
        <v>3185</v>
      </c>
      <c r="E368" s="140" t="s">
        <v>3187</v>
      </c>
      <c r="F368" s="140" t="s">
        <v>3181</v>
      </c>
      <c r="G368" s="140" t="s">
        <v>3184</v>
      </c>
      <c r="H368" s="140" t="s">
        <v>3180</v>
      </c>
      <c r="I368" s="140" t="s">
        <v>3186</v>
      </c>
      <c r="J368" s="140" t="s">
        <v>3192</v>
      </c>
      <c r="K368" s="141" t="s">
        <v>3189</v>
      </c>
    </row>
    <row r="369" customFormat="false" ht="15" hidden="false" customHeight="false" outlineLevel="0" collapsed="false">
      <c r="B369" s="139" t="n">
        <v>364</v>
      </c>
      <c r="C369" s="140" t="s">
        <v>3566</v>
      </c>
      <c r="D369" s="140" t="s">
        <v>3185</v>
      </c>
      <c r="E369" s="140" t="s">
        <v>3187</v>
      </c>
      <c r="F369" s="140" t="s">
        <v>3181</v>
      </c>
      <c r="G369" s="140" t="s">
        <v>3184</v>
      </c>
      <c r="H369" s="140" t="s">
        <v>3180</v>
      </c>
      <c r="I369" s="140" t="s">
        <v>3186</v>
      </c>
      <c r="J369" s="140" t="s">
        <v>3189</v>
      </c>
      <c r="K369" s="141" t="s">
        <v>3191</v>
      </c>
    </row>
    <row r="370" customFormat="false" ht="15" hidden="false" customHeight="false" outlineLevel="0" collapsed="false">
      <c r="B370" s="139" t="n">
        <v>365</v>
      </c>
      <c r="C370" s="140" t="s">
        <v>3567</v>
      </c>
      <c r="D370" s="140" t="s">
        <v>3185</v>
      </c>
      <c r="E370" s="140" t="s">
        <v>3187</v>
      </c>
      <c r="F370" s="140" t="s">
        <v>3181</v>
      </c>
      <c r="G370" s="140" t="s">
        <v>3184</v>
      </c>
      <c r="H370" s="140" t="s">
        <v>3180</v>
      </c>
      <c r="I370" s="140" t="s">
        <v>3186</v>
      </c>
      <c r="J370" s="140" t="s">
        <v>3189</v>
      </c>
      <c r="K370" s="141" t="s">
        <v>3190</v>
      </c>
    </row>
    <row r="371" customFormat="false" ht="15" hidden="false" customHeight="false" outlineLevel="0" collapsed="false">
      <c r="B371" s="139" t="n">
        <v>366</v>
      </c>
      <c r="C371" s="140" t="s">
        <v>3568</v>
      </c>
      <c r="D371" s="140" t="s">
        <v>3188</v>
      </c>
      <c r="E371" s="140" t="s">
        <v>3187</v>
      </c>
      <c r="F371" s="140" t="s">
        <v>3181</v>
      </c>
      <c r="G371" s="140" t="s">
        <v>3184</v>
      </c>
      <c r="H371" s="140" t="s">
        <v>3180</v>
      </c>
      <c r="I371" s="140" t="s">
        <v>3186</v>
      </c>
      <c r="J371" s="140" t="s">
        <v>3192</v>
      </c>
      <c r="K371" s="141" t="s">
        <v>3185</v>
      </c>
    </row>
    <row r="372" customFormat="false" ht="15" hidden="false" customHeight="false" outlineLevel="0" collapsed="false">
      <c r="B372" s="139" t="n">
        <v>367</v>
      </c>
      <c r="C372" s="140" t="s">
        <v>3569</v>
      </c>
      <c r="D372" s="140" t="s">
        <v>3188</v>
      </c>
      <c r="E372" s="140" t="s">
        <v>3187</v>
      </c>
      <c r="F372" s="140" t="s">
        <v>3181</v>
      </c>
      <c r="G372" s="140" t="s">
        <v>3184</v>
      </c>
      <c r="H372" s="140" t="s">
        <v>3180</v>
      </c>
      <c r="I372" s="140" t="s">
        <v>3186</v>
      </c>
      <c r="J372" s="140" t="s">
        <v>3185</v>
      </c>
      <c r="K372" s="141" t="s">
        <v>3191</v>
      </c>
    </row>
    <row r="373" customFormat="false" ht="15" hidden="false" customHeight="false" outlineLevel="0" collapsed="false">
      <c r="B373" s="139" t="n">
        <v>368</v>
      </c>
      <c r="C373" s="140" t="s">
        <v>3570</v>
      </c>
      <c r="D373" s="140" t="s">
        <v>3188</v>
      </c>
      <c r="E373" s="140" t="s">
        <v>3187</v>
      </c>
      <c r="F373" s="140" t="s">
        <v>3181</v>
      </c>
      <c r="G373" s="140" t="s">
        <v>3184</v>
      </c>
      <c r="H373" s="140" t="s">
        <v>3180</v>
      </c>
      <c r="I373" s="140" t="s">
        <v>3186</v>
      </c>
      <c r="J373" s="140" t="s">
        <v>3185</v>
      </c>
      <c r="K373" s="141" t="s">
        <v>3190</v>
      </c>
    </row>
    <row r="374" customFormat="false" ht="15" hidden="false" customHeight="false" outlineLevel="0" collapsed="false">
      <c r="B374" s="139" t="n">
        <v>369</v>
      </c>
      <c r="C374" s="140" t="s">
        <v>3571</v>
      </c>
      <c r="D374" s="140" t="s">
        <v>3188</v>
      </c>
      <c r="E374" s="140" t="s">
        <v>3187</v>
      </c>
      <c r="F374" s="140" t="s">
        <v>3181</v>
      </c>
      <c r="G374" s="140" t="s">
        <v>3184</v>
      </c>
      <c r="H374" s="140" t="s">
        <v>3180</v>
      </c>
      <c r="I374" s="140" t="s">
        <v>3186</v>
      </c>
      <c r="J374" s="140" t="s">
        <v>3185</v>
      </c>
      <c r="K374" s="141" t="s">
        <v>3189</v>
      </c>
    </row>
    <row r="375" customFormat="false" ht="15" hidden="false" customHeight="false" outlineLevel="0" collapsed="false">
      <c r="B375" s="139" t="n">
        <v>370</v>
      </c>
      <c r="C375" s="140" t="s">
        <v>3572</v>
      </c>
      <c r="D375" s="140" t="s">
        <v>3189</v>
      </c>
      <c r="E375" s="140" t="s">
        <v>3190</v>
      </c>
      <c r="F375" s="140" t="s">
        <v>3181</v>
      </c>
      <c r="G375" s="140" t="s">
        <v>3182</v>
      </c>
      <c r="H375" s="140" t="s">
        <v>3180</v>
      </c>
      <c r="I375" s="140" t="s">
        <v>3188</v>
      </c>
      <c r="J375" s="140" t="s">
        <v>3192</v>
      </c>
      <c r="K375" s="141" t="s">
        <v>3191</v>
      </c>
    </row>
    <row r="376" customFormat="false" ht="15" hidden="false" customHeight="false" outlineLevel="0" collapsed="false">
      <c r="B376" s="139" t="n">
        <v>371</v>
      </c>
      <c r="C376" s="140" t="s">
        <v>3573</v>
      </c>
      <c r="D376" s="140" t="s">
        <v>3189</v>
      </c>
      <c r="E376" s="140" t="s">
        <v>3190</v>
      </c>
      <c r="F376" s="140" t="s">
        <v>3181</v>
      </c>
      <c r="G376" s="140" t="s">
        <v>3182</v>
      </c>
      <c r="H376" s="140" t="s">
        <v>3180</v>
      </c>
      <c r="I376" s="140" t="s">
        <v>3187</v>
      </c>
      <c r="J376" s="140" t="s">
        <v>3192</v>
      </c>
      <c r="K376" s="141" t="s">
        <v>3191</v>
      </c>
    </row>
    <row r="377" customFormat="false" ht="15" hidden="false" customHeight="false" outlineLevel="0" collapsed="false">
      <c r="B377" s="139" t="n">
        <v>372</v>
      </c>
      <c r="C377" s="140" t="s">
        <v>3574</v>
      </c>
      <c r="D377" s="140" t="s">
        <v>3188</v>
      </c>
      <c r="E377" s="140" t="s">
        <v>3190</v>
      </c>
      <c r="F377" s="140" t="s">
        <v>3181</v>
      </c>
      <c r="G377" s="140" t="s">
        <v>3182</v>
      </c>
      <c r="H377" s="140" t="s">
        <v>3180</v>
      </c>
      <c r="I377" s="140" t="s">
        <v>3187</v>
      </c>
      <c r="J377" s="140" t="s">
        <v>3192</v>
      </c>
      <c r="K377" s="141" t="s">
        <v>3191</v>
      </c>
    </row>
    <row r="378" customFormat="false" ht="15" hidden="false" customHeight="false" outlineLevel="0" collapsed="false">
      <c r="B378" s="139" t="n">
        <v>373</v>
      </c>
      <c r="C378" s="140" t="s">
        <v>3575</v>
      </c>
      <c r="D378" s="140" t="s">
        <v>3189</v>
      </c>
      <c r="E378" s="140" t="s">
        <v>3187</v>
      </c>
      <c r="F378" s="140" t="s">
        <v>3181</v>
      </c>
      <c r="G378" s="140" t="s">
        <v>3182</v>
      </c>
      <c r="H378" s="140" t="s">
        <v>3180</v>
      </c>
      <c r="I378" s="140" t="s">
        <v>3188</v>
      </c>
      <c r="J378" s="140" t="s">
        <v>3192</v>
      </c>
      <c r="K378" s="141" t="s">
        <v>3191</v>
      </c>
    </row>
    <row r="379" customFormat="false" ht="15" hidden="false" customHeight="false" outlineLevel="0" collapsed="false">
      <c r="B379" s="139" t="n">
        <v>374</v>
      </c>
      <c r="C379" s="140" t="s">
        <v>3576</v>
      </c>
      <c r="D379" s="140" t="s">
        <v>3188</v>
      </c>
      <c r="E379" s="140" t="s">
        <v>3190</v>
      </c>
      <c r="F379" s="140" t="s">
        <v>3181</v>
      </c>
      <c r="G379" s="140" t="s">
        <v>3182</v>
      </c>
      <c r="H379" s="140" t="s">
        <v>3180</v>
      </c>
      <c r="I379" s="140" t="s">
        <v>3187</v>
      </c>
      <c r="J379" s="140" t="s">
        <v>3192</v>
      </c>
      <c r="K379" s="141" t="s">
        <v>3189</v>
      </c>
    </row>
    <row r="380" customFormat="false" ht="15" hidden="false" customHeight="false" outlineLevel="0" collapsed="false">
      <c r="B380" s="139" t="n">
        <v>375</v>
      </c>
      <c r="C380" s="140" t="s">
        <v>3577</v>
      </c>
      <c r="D380" s="140" t="s">
        <v>3188</v>
      </c>
      <c r="E380" s="140" t="s">
        <v>3190</v>
      </c>
      <c r="F380" s="140" t="s">
        <v>3181</v>
      </c>
      <c r="G380" s="140" t="s">
        <v>3182</v>
      </c>
      <c r="H380" s="140" t="s">
        <v>3180</v>
      </c>
      <c r="I380" s="140" t="s">
        <v>3187</v>
      </c>
      <c r="J380" s="140" t="s">
        <v>3189</v>
      </c>
      <c r="K380" s="141" t="s">
        <v>3191</v>
      </c>
    </row>
    <row r="381" customFormat="false" ht="15" hidden="false" customHeight="false" outlineLevel="0" collapsed="false">
      <c r="B381" s="139" t="n">
        <v>376</v>
      </c>
      <c r="C381" s="140" t="s">
        <v>3578</v>
      </c>
      <c r="D381" s="140" t="s">
        <v>3189</v>
      </c>
      <c r="E381" s="140" t="s">
        <v>3190</v>
      </c>
      <c r="F381" s="140" t="s">
        <v>3181</v>
      </c>
      <c r="G381" s="140" t="s">
        <v>3182</v>
      </c>
      <c r="H381" s="140" t="s">
        <v>3180</v>
      </c>
      <c r="I381" s="140" t="s">
        <v>3186</v>
      </c>
      <c r="J381" s="140" t="s">
        <v>3192</v>
      </c>
      <c r="K381" s="141" t="s">
        <v>3191</v>
      </c>
    </row>
    <row r="382" customFormat="false" ht="15" hidden="false" customHeight="false" outlineLevel="0" collapsed="false">
      <c r="B382" s="139" t="n">
        <v>377</v>
      </c>
      <c r="C382" s="140" t="s">
        <v>3579</v>
      </c>
      <c r="D382" s="140" t="s">
        <v>3188</v>
      </c>
      <c r="E382" s="140" t="s">
        <v>3190</v>
      </c>
      <c r="F382" s="140" t="s">
        <v>3181</v>
      </c>
      <c r="G382" s="140" t="s">
        <v>3182</v>
      </c>
      <c r="H382" s="140" t="s">
        <v>3180</v>
      </c>
      <c r="I382" s="140" t="s">
        <v>3186</v>
      </c>
      <c r="J382" s="140" t="s">
        <v>3192</v>
      </c>
      <c r="K382" s="141" t="s">
        <v>3191</v>
      </c>
    </row>
    <row r="383" customFormat="false" ht="15" hidden="false" customHeight="false" outlineLevel="0" collapsed="false">
      <c r="B383" s="139" t="n">
        <v>378</v>
      </c>
      <c r="C383" s="140" t="s">
        <v>3580</v>
      </c>
      <c r="D383" s="140" t="s">
        <v>3188</v>
      </c>
      <c r="E383" s="140" t="s">
        <v>3189</v>
      </c>
      <c r="F383" s="140" t="s">
        <v>3181</v>
      </c>
      <c r="G383" s="140" t="s">
        <v>3182</v>
      </c>
      <c r="H383" s="140" t="s">
        <v>3180</v>
      </c>
      <c r="I383" s="140" t="s">
        <v>3186</v>
      </c>
      <c r="J383" s="140" t="s">
        <v>3192</v>
      </c>
      <c r="K383" s="141" t="s">
        <v>3191</v>
      </c>
    </row>
    <row r="384" customFormat="false" ht="15" hidden="false" customHeight="false" outlineLevel="0" collapsed="false">
      <c r="B384" s="139" t="n">
        <v>379</v>
      </c>
      <c r="C384" s="140" t="s">
        <v>3581</v>
      </c>
      <c r="D384" s="140" t="s">
        <v>3188</v>
      </c>
      <c r="E384" s="140" t="s">
        <v>3190</v>
      </c>
      <c r="F384" s="140" t="s">
        <v>3181</v>
      </c>
      <c r="G384" s="140" t="s">
        <v>3182</v>
      </c>
      <c r="H384" s="140" t="s">
        <v>3180</v>
      </c>
      <c r="I384" s="140" t="s">
        <v>3186</v>
      </c>
      <c r="J384" s="140" t="s">
        <v>3192</v>
      </c>
      <c r="K384" s="141" t="s">
        <v>3189</v>
      </c>
    </row>
    <row r="385" customFormat="false" ht="15" hidden="false" customHeight="false" outlineLevel="0" collapsed="false">
      <c r="B385" s="139" t="n">
        <v>380</v>
      </c>
      <c r="C385" s="140" t="s">
        <v>3582</v>
      </c>
      <c r="D385" s="140" t="s">
        <v>3188</v>
      </c>
      <c r="E385" s="140" t="s">
        <v>3190</v>
      </c>
      <c r="F385" s="140" t="s">
        <v>3181</v>
      </c>
      <c r="G385" s="140" t="s">
        <v>3182</v>
      </c>
      <c r="H385" s="140" t="s">
        <v>3180</v>
      </c>
      <c r="I385" s="140" t="s">
        <v>3186</v>
      </c>
      <c r="J385" s="140" t="s">
        <v>3189</v>
      </c>
      <c r="K385" s="141" t="s">
        <v>3191</v>
      </c>
    </row>
    <row r="386" customFormat="false" ht="15" hidden="false" customHeight="false" outlineLevel="0" collapsed="false">
      <c r="B386" s="139" t="n">
        <v>381</v>
      </c>
      <c r="C386" s="140" t="s">
        <v>3583</v>
      </c>
      <c r="D386" s="140" t="s">
        <v>3182</v>
      </c>
      <c r="E386" s="140" t="s">
        <v>3190</v>
      </c>
      <c r="F386" s="140" t="s">
        <v>3181</v>
      </c>
      <c r="G386" s="140" t="s">
        <v>3186</v>
      </c>
      <c r="H386" s="140" t="s">
        <v>3180</v>
      </c>
      <c r="I386" s="140" t="s">
        <v>3187</v>
      </c>
      <c r="J386" s="140" t="s">
        <v>3192</v>
      </c>
      <c r="K386" s="141" t="s">
        <v>3191</v>
      </c>
    </row>
    <row r="387" customFormat="false" ht="15" hidden="false" customHeight="false" outlineLevel="0" collapsed="false">
      <c r="B387" s="139" t="n">
        <v>382</v>
      </c>
      <c r="C387" s="140" t="s">
        <v>3584</v>
      </c>
      <c r="D387" s="140" t="s">
        <v>3189</v>
      </c>
      <c r="E387" s="140" t="s">
        <v>3187</v>
      </c>
      <c r="F387" s="140" t="s">
        <v>3181</v>
      </c>
      <c r="G387" s="140" t="s">
        <v>3182</v>
      </c>
      <c r="H387" s="140" t="s">
        <v>3180</v>
      </c>
      <c r="I387" s="140" t="s">
        <v>3186</v>
      </c>
      <c r="J387" s="140" t="s">
        <v>3192</v>
      </c>
      <c r="K387" s="141" t="s">
        <v>3191</v>
      </c>
    </row>
    <row r="388" customFormat="false" ht="15" hidden="false" customHeight="false" outlineLevel="0" collapsed="false">
      <c r="B388" s="139" t="n">
        <v>383</v>
      </c>
      <c r="C388" s="140" t="s">
        <v>3585</v>
      </c>
      <c r="D388" s="140" t="s">
        <v>3182</v>
      </c>
      <c r="E388" s="140" t="s">
        <v>3190</v>
      </c>
      <c r="F388" s="140" t="s">
        <v>3181</v>
      </c>
      <c r="G388" s="140" t="s">
        <v>3186</v>
      </c>
      <c r="H388" s="140" t="s">
        <v>3180</v>
      </c>
      <c r="I388" s="140" t="s">
        <v>3187</v>
      </c>
      <c r="J388" s="140" t="s">
        <v>3192</v>
      </c>
      <c r="K388" s="141" t="s">
        <v>3189</v>
      </c>
    </row>
    <row r="389" customFormat="false" ht="15" hidden="false" customHeight="false" outlineLevel="0" collapsed="false">
      <c r="B389" s="139" t="n">
        <v>384</v>
      </c>
      <c r="C389" s="140" t="s">
        <v>3586</v>
      </c>
      <c r="D389" s="140" t="s">
        <v>3182</v>
      </c>
      <c r="E389" s="140" t="s">
        <v>3190</v>
      </c>
      <c r="F389" s="140" t="s">
        <v>3181</v>
      </c>
      <c r="G389" s="140" t="s">
        <v>3186</v>
      </c>
      <c r="H389" s="140" t="s">
        <v>3180</v>
      </c>
      <c r="I389" s="140" t="s">
        <v>3187</v>
      </c>
      <c r="J389" s="140" t="s">
        <v>3189</v>
      </c>
      <c r="K389" s="141" t="s">
        <v>3191</v>
      </c>
    </row>
    <row r="390" customFormat="false" ht="15" hidden="false" customHeight="false" outlineLevel="0" collapsed="false">
      <c r="B390" s="139" t="n">
        <v>385</v>
      </c>
      <c r="C390" s="140" t="s">
        <v>3587</v>
      </c>
      <c r="D390" s="140" t="s">
        <v>3188</v>
      </c>
      <c r="E390" s="140" t="s">
        <v>3187</v>
      </c>
      <c r="F390" s="140" t="s">
        <v>3181</v>
      </c>
      <c r="G390" s="140" t="s">
        <v>3182</v>
      </c>
      <c r="H390" s="140" t="s">
        <v>3180</v>
      </c>
      <c r="I390" s="140" t="s">
        <v>3186</v>
      </c>
      <c r="J390" s="140" t="s">
        <v>3192</v>
      </c>
      <c r="K390" s="141" t="s">
        <v>3191</v>
      </c>
    </row>
    <row r="391" customFormat="false" ht="15" hidden="false" customHeight="false" outlineLevel="0" collapsed="false">
      <c r="B391" s="139" t="n">
        <v>386</v>
      </c>
      <c r="C391" s="140" t="s">
        <v>3588</v>
      </c>
      <c r="D391" s="140" t="s">
        <v>3188</v>
      </c>
      <c r="E391" s="140" t="s">
        <v>3187</v>
      </c>
      <c r="F391" s="140" t="s">
        <v>3181</v>
      </c>
      <c r="G391" s="140" t="s">
        <v>3182</v>
      </c>
      <c r="H391" s="140" t="s">
        <v>3180</v>
      </c>
      <c r="I391" s="140" t="s">
        <v>3186</v>
      </c>
      <c r="J391" s="140" t="s">
        <v>3192</v>
      </c>
      <c r="K391" s="141" t="s">
        <v>3190</v>
      </c>
    </row>
    <row r="392" customFormat="false" ht="15" hidden="false" customHeight="false" outlineLevel="0" collapsed="false">
      <c r="B392" s="139" t="n">
        <v>387</v>
      </c>
      <c r="C392" s="140" t="s">
        <v>3589</v>
      </c>
      <c r="D392" s="140" t="s">
        <v>3188</v>
      </c>
      <c r="E392" s="140" t="s">
        <v>3187</v>
      </c>
      <c r="F392" s="140" t="s">
        <v>3181</v>
      </c>
      <c r="G392" s="140" t="s">
        <v>3182</v>
      </c>
      <c r="H392" s="140" t="s">
        <v>3180</v>
      </c>
      <c r="I392" s="140" t="s">
        <v>3186</v>
      </c>
      <c r="J392" s="140" t="s">
        <v>3190</v>
      </c>
      <c r="K392" s="141" t="s">
        <v>3191</v>
      </c>
    </row>
    <row r="393" customFormat="false" ht="15" hidden="false" customHeight="false" outlineLevel="0" collapsed="false">
      <c r="B393" s="139" t="n">
        <v>388</v>
      </c>
      <c r="C393" s="140" t="s">
        <v>3590</v>
      </c>
      <c r="D393" s="140" t="s">
        <v>3188</v>
      </c>
      <c r="E393" s="140" t="s">
        <v>3187</v>
      </c>
      <c r="F393" s="140" t="s">
        <v>3181</v>
      </c>
      <c r="G393" s="140" t="s">
        <v>3182</v>
      </c>
      <c r="H393" s="140" t="s">
        <v>3180</v>
      </c>
      <c r="I393" s="140" t="s">
        <v>3186</v>
      </c>
      <c r="J393" s="140" t="s">
        <v>3192</v>
      </c>
      <c r="K393" s="141" t="s">
        <v>3189</v>
      </c>
    </row>
    <row r="394" customFormat="false" ht="15" hidden="false" customHeight="false" outlineLevel="0" collapsed="false">
      <c r="B394" s="139" t="n">
        <v>389</v>
      </c>
      <c r="C394" s="140" t="s">
        <v>3591</v>
      </c>
      <c r="D394" s="140" t="s">
        <v>3188</v>
      </c>
      <c r="E394" s="140" t="s">
        <v>3187</v>
      </c>
      <c r="F394" s="140" t="s">
        <v>3181</v>
      </c>
      <c r="G394" s="140" t="s">
        <v>3182</v>
      </c>
      <c r="H394" s="140" t="s">
        <v>3180</v>
      </c>
      <c r="I394" s="140" t="s">
        <v>3186</v>
      </c>
      <c r="J394" s="140" t="s">
        <v>3189</v>
      </c>
      <c r="K394" s="141" t="s">
        <v>3191</v>
      </c>
    </row>
    <row r="395" customFormat="false" ht="15" hidden="false" customHeight="false" outlineLevel="0" collapsed="false">
      <c r="B395" s="139" t="n">
        <v>390</v>
      </c>
      <c r="C395" s="140" t="s">
        <v>3592</v>
      </c>
      <c r="D395" s="140" t="s">
        <v>3188</v>
      </c>
      <c r="E395" s="140" t="s">
        <v>3187</v>
      </c>
      <c r="F395" s="140" t="s">
        <v>3181</v>
      </c>
      <c r="G395" s="140" t="s">
        <v>3182</v>
      </c>
      <c r="H395" s="140" t="s">
        <v>3180</v>
      </c>
      <c r="I395" s="140" t="s">
        <v>3186</v>
      </c>
      <c r="J395" s="140" t="s">
        <v>3189</v>
      </c>
      <c r="K395" s="141" t="s">
        <v>3190</v>
      </c>
    </row>
    <row r="396" customFormat="false" ht="15" hidden="false" customHeight="false" outlineLevel="0" collapsed="false">
      <c r="B396" s="139" t="n">
        <v>391</v>
      </c>
      <c r="C396" s="140" t="s">
        <v>3593</v>
      </c>
      <c r="D396" s="140" t="s">
        <v>3185</v>
      </c>
      <c r="E396" s="140" t="s">
        <v>3190</v>
      </c>
      <c r="F396" s="140" t="s">
        <v>3181</v>
      </c>
      <c r="G396" s="140" t="s">
        <v>3180</v>
      </c>
      <c r="H396" s="140" t="s">
        <v>3189</v>
      </c>
      <c r="I396" s="140" t="s">
        <v>3182</v>
      </c>
      <c r="J396" s="140" t="s">
        <v>3192</v>
      </c>
      <c r="K396" s="141" t="s">
        <v>3191</v>
      </c>
    </row>
    <row r="397" customFormat="false" ht="15" hidden="false" customHeight="false" outlineLevel="0" collapsed="false">
      <c r="B397" s="139" t="n">
        <v>392</v>
      </c>
      <c r="C397" s="140" t="s">
        <v>3594</v>
      </c>
      <c r="D397" s="140" t="s">
        <v>3185</v>
      </c>
      <c r="E397" s="140" t="s">
        <v>3190</v>
      </c>
      <c r="F397" s="140" t="s">
        <v>3181</v>
      </c>
      <c r="G397" s="140" t="s">
        <v>3182</v>
      </c>
      <c r="H397" s="140" t="s">
        <v>3180</v>
      </c>
      <c r="I397" s="140" t="s">
        <v>3188</v>
      </c>
      <c r="J397" s="140" t="s">
        <v>3192</v>
      </c>
      <c r="K397" s="141" t="s">
        <v>3191</v>
      </c>
    </row>
    <row r="398" customFormat="false" ht="15" hidden="false" customHeight="false" outlineLevel="0" collapsed="false">
      <c r="B398" s="139" t="n">
        <v>393</v>
      </c>
      <c r="C398" s="140" t="s">
        <v>3595</v>
      </c>
      <c r="D398" s="140" t="s">
        <v>3185</v>
      </c>
      <c r="E398" s="140" t="s">
        <v>3189</v>
      </c>
      <c r="F398" s="140" t="s">
        <v>3181</v>
      </c>
      <c r="G398" s="140" t="s">
        <v>3182</v>
      </c>
      <c r="H398" s="140" t="s">
        <v>3180</v>
      </c>
      <c r="I398" s="140" t="s">
        <v>3188</v>
      </c>
      <c r="J398" s="140" t="s">
        <v>3192</v>
      </c>
      <c r="K398" s="141" t="s">
        <v>3191</v>
      </c>
    </row>
    <row r="399" customFormat="false" ht="15" hidden="false" customHeight="false" outlineLevel="0" collapsed="false">
      <c r="B399" s="139" t="n">
        <v>394</v>
      </c>
      <c r="C399" s="140" t="s">
        <v>3596</v>
      </c>
      <c r="D399" s="140" t="s">
        <v>3185</v>
      </c>
      <c r="E399" s="140" t="s">
        <v>3190</v>
      </c>
      <c r="F399" s="140" t="s">
        <v>3181</v>
      </c>
      <c r="G399" s="140" t="s">
        <v>3182</v>
      </c>
      <c r="H399" s="140" t="s">
        <v>3180</v>
      </c>
      <c r="I399" s="140" t="s">
        <v>3188</v>
      </c>
      <c r="J399" s="140" t="s">
        <v>3192</v>
      </c>
      <c r="K399" s="141" t="s">
        <v>3189</v>
      </c>
    </row>
    <row r="400" customFormat="false" ht="15" hidden="false" customHeight="false" outlineLevel="0" collapsed="false">
      <c r="B400" s="139" t="n">
        <v>395</v>
      </c>
      <c r="C400" s="140" t="s">
        <v>3597</v>
      </c>
      <c r="D400" s="140" t="s">
        <v>3185</v>
      </c>
      <c r="E400" s="140" t="s">
        <v>3190</v>
      </c>
      <c r="F400" s="140" t="s">
        <v>3181</v>
      </c>
      <c r="G400" s="140" t="s">
        <v>3182</v>
      </c>
      <c r="H400" s="140" t="s">
        <v>3180</v>
      </c>
      <c r="I400" s="140" t="s">
        <v>3188</v>
      </c>
      <c r="J400" s="140" t="s">
        <v>3189</v>
      </c>
      <c r="K400" s="141" t="s">
        <v>3191</v>
      </c>
    </row>
    <row r="401" customFormat="false" ht="15" hidden="false" customHeight="false" outlineLevel="0" collapsed="false">
      <c r="B401" s="139" t="n">
        <v>396</v>
      </c>
      <c r="C401" s="140" t="s">
        <v>3598</v>
      </c>
      <c r="D401" s="140" t="s">
        <v>3185</v>
      </c>
      <c r="E401" s="140" t="s">
        <v>3190</v>
      </c>
      <c r="F401" s="140" t="s">
        <v>3181</v>
      </c>
      <c r="G401" s="140" t="s">
        <v>3182</v>
      </c>
      <c r="H401" s="140" t="s">
        <v>3180</v>
      </c>
      <c r="I401" s="140" t="s">
        <v>3187</v>
      </c>
      <c r="J401" s="140" t="s">
        <v>3192</v>
      </c>
      <c r="K401" s="141" t="s">
        <v>3191</v>
      </c>
    </row>
    <row r="402" customFormat="false" ht="15" hidden="false" customHeight="false" outlineLevel="0" collapsed="false">
      <c r="B402" s="139" t="n">
        <v>397</v>
      </c>
      <c r="C402" s="140" t="s">
        <v>3599</v>
      </c>
      <c r="D402" s="140" t="s">
        <v>3185</v>
      </c>
      <c r="E402" s="140" t="s">
        <v>3187</v>
      </c>
      <c r="F402" s="140" t="s">
        <v>3181</v>
      </c>
      <c r="G402" s="140" t="s">
        <v>3180</v>
      </c>
      <c r="H402" s="140" t="s">
        <v>3189</v>
      </c>
      <c r="I402" s="140" t="s">
        <v>3182</v>
      </c>
      <c r="J402" s="140" t="s">
        <v>3192</v>
      </c>
      <c r="K402" s="141" t="s">
        <v>3191</v>
      </c>
    </row>
    <row r="403" customFormat="false" ht="15" hidden="false" customHeight="false" outlineLevel="0" collapsed="false">
      <c r="B403" s="139" t="n">
        <v>398</v>
      </c>
      <c r="C403" s="140" t="s">
        <v>3600</v>
      </c>
      <c r="D403" s="140" t="s">
        <v>3185</v>
      </c>
      <c r="E403" s="140" t="s">
        <v>3190</v>
      </c>
      <c r="F403" s="140" t="s">
        <v>3181</v>
      </c>
      <c r="G403" s="140" t="s">
        <v>3182</v>
      </c>
      <c r="H403" s="140" t="s">
        <v>3180</v>
      </c>
      <c r="I403" s="140" t="s">
        <v>3187</v>
      </c>
      <c r="J403" s="140" t="s">
        <v>3192</v>
      </c>
      <c r="K403" s="141" t="s">
        <v>3189</v>
      </c>
    </row>
    <row r="404" customFormat="false" ht="15" hidden="false" customHeight="false" outlineLevel="0" collapsed="false">
      <c r="B404" s="139" t="n">
        <v>399</v>
      </c>
      <c r="C404" s="140" t="s">
        <v>3601</v>
      </c>
      <c r="D404" s="140" t="s">
        <v>3185</v>
      </c>
      <c r="E404" s="140" t="s">
        <v>3190</v>
      </c>
      <c r="F404" s="140" t="s">
        <v>3181</v>
      </c>
      <c r="G404" s="140" t="s">
        <v>3182</v>
      </c>
      <c r="H404" s="140" t="s">
        <v>3180</v>
      </c>
      <c r="I404" s="140" t="s">
        <v>3187</v>
      </c>
      <c r="J404" s="140" t="s">
        <v>3189</v>
      </c>
      <c r="K404" s="141" t="s">
        <v>3191</v>
      </c>
    </row>
    <row r="405" customFormat="false" ht="15" hidden="false" customHeight="false" outlineLevel="0" collapsed="false">
      <c r="B405" s="139" t="n">
        <v>400</v>
      </c>
      <c r="C405" s="140" t="s">
        <v>3602</v>
      </c>
      <c r="D405" s="140" t="s">
        <v>3185</v>
      </c>
      <c r="E405" s="140" t="s">
        <v>3187</v>
      </c>
      <c r="F405" s="140" t="s">
        <v>3181</v>
      </c>
      <c r="G405" s="140" t="s">
        <v>3182</v>
      </c>
      <c r="H405" s="140" t="s">
        <v>3180</v>
      </c>
      <c r="I405" s="140" t="s">
        <v>3188</v>
      </c>
      <c r="J405" s="140" t="s">
        <v>3192</v>
      </c>
      <c r="K405" s="141" t="s">
        <v>3191</v>
      </c>
    </row>
    <row r="406" customFormat="false" ht="15" hidden="false" customHeight="false" outlineLevel="0" collapsed="false">
      <c r="B406" s="139" t="n">
        <v>401</v>
      </c>
      <c r="C406" s="140" t="s">
        <v>3603</v>
      </c>
      <c r="D406" s="140" t="s">
        <v>3188</v>
      </c>
      <c r="E406" s="140" t="s">
        <v>3190</v>
      </c>
      <c r="F406" s="140" t="s">
        <v>3181</v>
      </c>
      <c r="G406" s="140" t="s">
        <v>3182</v>
      </c>
      <c r="H406" s="140" t="s">
        <v>3180</v>
      </c>
      <c r="I406" s="140" t="s">
        <v>3187</v>
      </c>
      <c r="J406" s="140" t="s">
        <v>3192</v>
      </c>
      <c r="K406" s="141" t="s">
        <v>3185</v>
      </c>
    </row>
    <row r="407" customFormat="false" ht="15" hidden="false" customHeight="false" outlineLevel="0" collapsed="false">
      <c r="B407" s="139" t="n">
        <v>402</v>
      </c>
      <c r="C407" s="140" t="s">
        <v>3604</v>
      </c>
      <c r="D407" s="140" t="s">
        <v>3188</v>
      </c>
      <c r="E407" s="140" t="s">
        <v>3190</v>
      </c>
      <c r="F407" s="140" t="s">
        <v>3181</v>
      </c>
      <c r="G407" s="140" t="s">
        <v>3182</v>
      </c>
      <c r="H407" s="140" t="s">
        <v>3180</v>
      </c>
      <c r="I407" s="140" t="s">
        <v>3187</v>
      </c>
      <c r="J407" s="140" t="s">
        <v>3185</v>
      </c>
      <c r="K407" s="141" t="s">
        <v>3191</v>
      </c>
    </row>
    <row r="408" customFormat="false" ht="15" hidden="false" customHeight="false" outlineLevel="0" collapsed="false">
      <c r="B408" s="139" t="n">
        <v>403</v>
      </c>
      <c r="C408" s="140" t="s">
        <v>3605</v>
      </c>
      <c r="D408" s="140" t="s">
        <v>3185</v>
      </c>
      <c r="E408" s="140" t="s">
        <v>3187</v>
      </c>
      <c r="F408" s="140" t="s">
        <v>3181</v>
      </c>
      <c r="G408" s="140" t="s">
        <v>3182</v>
      </c>
      <c r="H408" s="140" t="s">
        <v>3180</v>
      </c>
      <c r="I408" s="140" t="s">
        <v>3188</v>
      </c>
      <c r="J408" s="140" t="s">
        <v>3192</v>
      </c>
      <c r="K408" s="141" t="s">
        <v>3189</v>
      </c>
    </row>
    <row r="409" customFormat="false" ht="15" hidden="false" customHeight="false" outlineLevel="0" collapsed="false">
      <c r="B409" s="139" t="n">
        <v>404</v>
      </c>
      <c r="C409" s="140" t="s">
        <v>3606</v>
      </c>
      <c r="D409" s="140" t="s">
        <v>3185</v>
      </c>
      <c r="E409" s="140" t="s">
        <v>3187</v>
      </c>
      <c r="F409" s="140" t="s">
        <v>3181</v>
      </c>
      <c r="G409" s="140" t="s">
        <v>3182</v>
      </c>
      <c r="H409" s="140" t="s">
        <v>3180</v>
      </c>
      <c r="I409" s="140" t="s">
        <v>3188</v>
      </c>
      <c r="J409" s="140" t="s">
        <v>3189</v>
      </c>
      <c r="K409" s="141" t="s">
        <v>3191</v>
      </c>
    </row>
    <row r="410" customFormat="false" ht="15" hidden="false" customHeight="false" outlineLevel="0" collapsed="false">
      <c r="B410" s="139" t="n">
        <v>405</v>
      </c>
      <c r="C410" s="140" t="s">
        <v>3607</v>
      </c>
      <c r="D410" s="140" t="s">
        <v>3188</v>
      </c>
      <c r="E410" s="140" t="s">
        <v>3190</v>
      </c>
      <c r="F410" s="140" t="s">
        <v>3181</v>
      </c>
      <c r="G410" s="140" t="s">
        <v>3182</v>
      </c>
      <c r="H410" s="140" t="s">
        <v>3180</v>
      </c>
      <c r="I410" s="140" t="s">
        <v>3187</v>
      </c>
      <c r="J410" s="140" t="s">
        <v>3185</v>
      </c>
      <c r="K410" s="141" t="s">
        <v>3189</v>
      </c>
    </row>
    <row r="411" customFormat="false" ht="15" hidden="false" customHeight="false" outlineLevel="0" collapsed="false">
      <c r="B411" s="139" t="n">
        <v>406</v>
      </c>
      <c r="C411" s="140" t="s">
        <v>3608</v>
      </c>
      <c r="D411" s="140" t="s">
        <v>3185</v>
      </c>
      <c r="E411" s="140" t="s">
        <v>3190</v>
      </c>
      <c r="F411" s="140" t="s">
        <v>3181</v>
      </c>
      <c r="G411" s="140" t="s">
        <v>3182</v>
      </c>
      <c r="H411" s="140" t="s">
        <v>3180</v>
      </c>
      <c r="I411" s="140" t="s">
        <v>3186</v>
      </c>
      <c r="J411" s="140" t="s">
        <v>3192</v>
      </c>
      <c r="K411" s="141" t="s">
        <v>3191</v>
      </c>
    </row>
    <row r="412" customFormat="false" ht="15" hidden="false" customHeight="false" outlineLevel="0" collapsed="false">
      <c r="B412" s="139" t="n">
        <v>407</v>
      </c>
      <c r="C412" s="140" t="s">
        <v>3609</v>
      </c>
      <c r="D412" s="140" t="s">
        <v>3185</v>
      </c>
      <c r="E412" s="140" t="s">
        <v>3189</v>
      </c>
      <c r="F412" s="140" t="s">
        <v>3181</v>
      </c>
      <c r="G412" s="140" t="s">
        <v>3182</v>
      </c>
      <c r="H412" s="140" t="s">
        <v>3180</v>
      </c>
      <c r="I412" s="140" t="s">
        <v>3186</v>
      </c>
      <c r="J412" s="140" t="s">
        <v>3192</v>
      </c>
      <c r="K412" s="141" t="s">
        <v>3191</v>
      </c>
    </row>
    <row r="413" customFormat="false" ht="15" hidden="false" customHeight="false" outlineLevel="0" collapsed="false">
      <c r="B413" s="139" t="n">
        <v>408</v>
      </c>
      <c r="C413" s="140" t="s">
        <v>3610</v>
      </c>
      <c r="D413" s="140" t="s">
        <v>3185</v>
      </c>
      <c r="E413" s="140" t="s">
        <v>3190</v>
      </c>
      <c r="F413" s="140" t="s">
        <v>3181</v>
      </c>
      <c r="G413" s="140" t="s">
        <v>3182</v>
      </c>
      <c r="H413" s="140" t="s">
        <v>3180</v>
      </c>
      <c r="I413" s="140" t="s">
        <v>3186</v>
      </c>
      <c r="J413" s="140" t="s">
        <v>3192</v>
      </c>
      <c r="K413" s="141" t="s">
        <v>3189</v>
      </c>
    </row>
    <row r="414" customFormat="false" ht="15" hidden="false" customHeight="false" outlineLevel="0" collapsed="false">
      <c r="B414" s="139" t="n">
        <v>409</v>
      </c>
      <c r="C414" s="140" t="s">
        <v>3611</v>
      </c>
      <c r="D414" s="140" t="s">
        <v>3185</v>
      </c>
      <c r="E414" s="140" t="s">
        <v>3190</v>
      </c>
      <c r="F414" s="140" t="s">
        <v>3181</v>
      </c>
      <c r="G414" s="140" t="s">
        <v>3182</v>
      </c>
      <c r="H414" s="140" t="s">
        <v>3180</v>
      </c>
      <c r="I414" s="140" t="s">
        <v>3186</v>
      </c>
      <c r="J414" s="140" t="s">
        <v>3189</v>
      </c>
      <c r="K414" s="141" t="s">
        <v>3191</v>
      </c>
    </row>
    <row r="415" customFormat="false" ht="15" hidden="false" customHeight="false" outlineLevel="0" collapsed="false">
      <c r="B415" s="139" t="n">
        <v>410</v>
      </c>
      <c r="C415" s="140" t="s">
        <v>3612</v>
      </c>
      <c r="D415" s="140" t="s">
        <v>3188</v>
      </c>
      <c r="E415" s="140" t="s">
        <v>3185</v>
      </c>
      <c r="F415" s="140" t="s">
        <v>3181</v>
      </c>
      <c r="G415" s="140" t="s">
        <v>3182</v>
      </c>
      <c r="H415" s="140" t="s">
        <v>3180</v>
      </c>
      <c r="I415" s="140" t="s">
        <v>3186</v>
      </c>
      <c r="J415" s="140" t="s">
        <v>3192</v>
      </c>
      <c r="K415" s="141" t="s">
        <v>3191</v>
      </c>
    </row>
    <row r="416" customFormat="false" ht="15" hidden="false" customHeight="false" outlineLevel="0" collapsed="false">
      <c r="B416" s="139" t="n">
        <v>411</v>
      </c>
      <c r="C416" s="140" t="s">
        <v>3613</v>
      </c>
      <c r="D416" s="140" t="s">
        <v>3188</v>
      </c>
      <c r="E416" s="140" t="s">
        <v>3190</v>
      </c>
      <c r="F416" s="140" t="s">
        <v>3181</v>
      </c>
      <c r="G416" s="140" t="s">
        <v>3182</v>
      </c>
      <c r="H416" s="140" t="s">
        <v>3180</v>
      </c>
      <c r="I416" s="140" t="s">
        <v>3186</v>
      </c>
      <c r="J416" s="140" t="s">
        <v>3192</v>
      </c>
      <c r="K416" s="141" t="s">
        <v>3185</v>
      </c>
    </row>
    <row r="417" customFormat="false" ht="15" hidden="false" customHeight="false" outlineLevel="0" collapsed="false">
      <c r="B417" s="139" t="n">
        <v>412</v>
      </c>
      <c r="C417" s="140" t="s">
        <v>3614</v>
      </c>
      <c r="D417" s="140" t="s">
        <v>3188</v>
      </c>
      <c r="E417" s="140" t="s">
        <v>3190</v>
      </c>
      <c r="F417" s="140" t="s">
        <v>3181</v>
      </c>
      <c r="G417" s="140" t="s">
        <v>3182</v>
      </c>
      <c r="H417" s="140" t="s">
        <v>3180</v>
      </c>
      <c r="I417" s="140" t="s">
        <v>3186</v>
      </c>
      <c r="J417" s="140" t="s">
        <v>3185</v>
      </c>
      <c r="K417" s="141" t="s">
        <v>3191</v>
      </c>
    </row>
    <row r="418" customFormat="false" ht="15" hidden="false" customHeight="false" outlineLevel="0" collapsed="false">
      <c r="B418" s="139" t="n">
        <v>413</v>
      </c>
      <c r="C418" s="140" t="s">
        <v>3615</v>
      </c>
      <c r="D418" s="140" t="s">
        <v>3188</v>
      </c>
      <c r="E418" s="140" t="s">
        <v>3185</v>
      </c>
      <c r="F418" s="140" t="s">
        <v>3181</v>
      </c>
      <c r="G418" s="140" t="s">
        <v>3182</v>
      </c>
      <c r="H418" s="140" t="s">
        <v>3180</v>
      </c>
      <c r="I418" s="140" t="s">
        <v>3186</v>
      </c>
      <c r="J418" s="140" t="s">
        <v>3192</v>
      </c>
      <c r="K418" s="141" t="s">
        <v>3189</v>
      </c>
    </row>
    <row r="419" customFormat="false" ht="15" hidden="false" customHeight="false" outlineLevel="0" collapsed="false">
      <c r="B419" s="139" t="n">
        <v>414</v>
      </c>
      <c r="C419" s="140" t="s">
        <v>3616</v>
      </c>
      <c r="D419" s="140" t="s">
        <v>3188</v>
      </c>
      <c r="E419" s="140" t="s">
        <v>3185</v>
      </c>
      <c r="F419" s="140" t="s">
        <v>3181</v>
      </c>
      <c r="G419" s="140" t="s">
        <v>3182</v>
      </c>
      <c r="H419" s="140" t="s">
        <v>3180</v>
      </c>
      <c r="I419" s="140" t="s">
        <v>3186</v>
      </c>
      <c r="J419" s="140" t="s">
        <v>3189</v>
      </c>
      <c r="K419" s="141" t="s">
        <v>3191</v>
      </c>
    </row>
    <row r="420" customFormat="false" ht="15" hidden="false" customHeight="false" outlineLevel="0" collapsed="false">
      <c r="B420" s="139" t="n">
        <v>415</v>
      </c>
      <c r="C420" s="140" t="s">
        <v>3617</v>
      </c>
      <c r="D420" s="140" t="s">
        <v>3188</v>
      </c>
      <c r="E420" s="140" t="s">
        <v>3190</v>
      </c>
      <c r="F420" s="140" t="s">
        <v>3181</v>
      </c>
      <c r="G420" s="140" t="s">
        <v>3182</v>
      </c>
      <c r="H420" s="140" t="s">
        <v>3180</v>
      </c>
      <c r="I420" s="140" t="s">
        <v>3186</v>
      </c>
      <c r="J420" s="140" t="s">
        <v>3185</v>
      </c>
      <c r="K420" s="141" t="s">
        <v>3189</v>
      </c>
    </row>
    <row r="421" customFormat="false" ht="15" hidden="false" customHeight="false" outlineLevel="0" collapsed="false">
      <c r="B421" s="139" t="n">
        <v>416</v>
      </c>
      <c r="C421" s="140" t="s">
        <v>3618</v>
      </c>
      <c r="D421" s="140" t="s">
        <v>3185</v>
      </c>
      <c r="E421" s="140" t="s">
        <v>3187</v>
      </c>
      <c r="F421" s="140" t="s">
        <v>3181</v>
      </c>
      <c r="G421" s="140" t="s">
        <v>3182</v>
      </c>
      <c r="H421" s="140" t="s">
        <v>3180</v>
      </c>
      <c r="I421" s="140" t="s">
        <v>3186</v>
      </c>
      <c r="J421" s="140" t="s">
        <v>3192</v>
      </c>
      <c r="K421" s="141" t="s">
        <v>3191</v>
      </c>
    </row>
    <row r="422" customFormat="false" ht="15" hidden="false" customHeight="false" outlineLevel="0" collapsed="false">
      <c r="B422" s="139" t="n">
        <v>417</v>
      </c>
      <c r="C422" s="140" t="s">
        <v>3619</v>
      </c>
      <c r="D422" s="140" t="s">
        <v>3185</v>
      </c>
      <c r="E422" s="140" t="s">
        <v>3187</v>
      </c>
      <c r="F422" s="140" t="s">
        <v>3181</v>
      </c>
      <c r="G422" s="140" t="s">
        <v>3182</v>
      </c>
      <c r="H422" s="140" t="s">
        <v>3180</v>
      </c>
      <c r="I422" s="140" t="s">
        <v>3186</v>
      </c>
      <c r="J422" s="140" t="s">
        <v>3192</v>
      </c>
      <c r="K422" s="141" t="s">
        <v>3190</v>
      </c>
    </row>
    <row r="423" customFormat="false" ht="15" hidden="false" customHeight="false" outlineLevel="0" collapsed="false">
      <c r="B423" s="139" t="n">
        <v>418</v>
      </c>
      <c r="C423" s="140" t="s">
        <v>3620</v>
      </c>
      <c r="D423" s="140" t="s">
        <v>3185</v>
      </c>
      <c r="E423" s="140" t="s">
        <v>3187</v>
      </c>
      <c r="F423" s="140" t="s">
        <v>3181</v>
      </c>
      <c r="G423" s="140" t="s">
        <v>3182</v>
      </c>
      <c r="H423" s="140" t="s">
        <v>3180</v>
      </c>
      <c r="I423" s="140" t="s">
        <v>3186</v>
      </c>
      <c r="J423" s="140" t="s">
        <v>3190</v>
      </c>
      <c r="K423" s="141" t="s">
        <v>3191</v>
      </c>
    </row>
    <row r="424" customFormat="false" ht="15" hidden="false" customHeight="false" outlineLevel="0" collapsed="false">
      <c r="B424" s="139" t="n">
        <v>419</v>
      </c>
      <c r="C424" s="140" t="s">
        <v>3621</v>
      </c>
      <c r="D424" s="140" t="s">
        <v>3185</v>
      </c>
      <c r="E424" s="140" t="s">
        <v>3187</v>
      </c>
      <c r="F424" s="140" t="s">
        <v>3181</v>
      </c>
      <c r="G424" s="140" t="s">
        <v>3182</v>
      </c>
      <c r="H424" s="140" t="s">
        <v>3180</v>
      </c>
      <c r="I424" s="140" t="s">
        <v>3186</v>
      </c>
      <c r="J424" s="140" t="s">
        <v>3192</v>
      </c>
      <c r="K424" s="141" t="s">
        <v>3189</v>
      </c>
    </row>
    <row r="425" customFormat="false" ht="15" hidden="false" customHeight="false" outlineLevel="0" collapsed="false">
      <c r="B425" s="139" t="n">
        <v>420</v>
      </c>
      <c r="C425" s="140" t="s">
        <v>3622</v>
      </c>
      <c r="D425" s="140" t="s">
        <v>3185</v>
      </c>
      <c r="E425" s="140" t="s">
        <v>3187</v>
      </c>
      <c r="F425" s="140" t="s">
        <v>3181</v>
      </c>
      <c r="G425" s="140" t="s">
        <v>3182</v>
      </c>
      <c r="H425" s="140" t="s">
        <v>3180</v>
      </c>
      <c r="I425" s="140" t="s">
        <v>3186</v>
      </c>
      <c r="J425" s="140" t="s">
        <v>3189</v>
      </c>
      <c r="K425" s="141" t="s">
        <v>3191</v>
      </c>
    </row>
    <row r="426" customFormat="false" ht="15" hidden="false" customHeight="false" outlineLevel="0" collapsed="false">
      <c r="B426" s="139" t="n">
        <v>421</v>
      </c>
      <c r="C426" s="140" t="s">
        <v>3623</v>
      </c>
      <c r="D426" s="140" t="s">
        <v>3185</v>
      </c>
      <c r="E426" s="140" t="s">
        <v>3187</v>
      </c>
      <c r="F426" s="140" t="s">
        <v>3181</v>
      </c>
      <c r="G426" s="140" t="s">
        <v>3182</v>
      </c>
      <c r="H426" s="140" t="s">
        <v>3180</v>
      </c>
      <c r="I426" s="140" t="s">
        <v>3186</v>
      </c>
      <c r="J426" s="140" t="s">
        <v>3189</v>
      </c>
      <c r="K426" s="141" t="s">
        <v>3190</v>
      </c>
    </row>
    <row r="427" customFormat="false" ht="15" hidden="false" customHeight="false" outlineLevel="0" collapsed="false">
      <c r="B427" s="139" t="n">
        <v>422</v>
      </c>
      <c r="C427" s="140" t="s">
        <v>3624</v>
      </c>
      <c r="D427" s="140" t="s">
        <v>3188</v>
      </c>
      <c r="E427" s="140" t="s">
        <v>3187</v>
      </c>
      <c r="F427" s="140" t="s">
        <v>3181</v>
      </c>
      <c r="G427" s="140" t="s">
        <v>3182</v>
      </c>
      <c r="H427" s="140" t="s">
        <v>3180</v>
      </c>
      <c r="I427" s="140" t="s">
        <v>3186</v>
      </c>
      <c r="J427" s="140" t="s">
        <v>3192</v>
      </c>
      <c r="K427" s="141" t="s">
        <v>3185</v>
      </c>
    </row>
    <row r="428" customFormat="false" ht="15" hidden="false" customHeight="false" outlineLevel="0" collapsed="false">
      <c r="B428" s="139" t="n">
        <v>423</v>
      </c>
      <c r="C428" s="140" t="s">
        <v>3625</v>
      </c>
      <c r="D428" s="140" t="s">
        <v>3188</v>
      </c>
      <c r="E428" s="140" t="s">
        <v>3187</v>
      </c>
      <c r="F428" s="140" t="s">
        <v>3181</v>
      </c>
      <c r="G428" s="140" t="s">
        <v>3182</v>
      </c>
      <c r="H428" s="140" t="s">
        <v>3180</v>
      </c>
      <c r="I428" s="140" t="s">
        <v>3186</v>
      </c>
      <c r="J428" s="140" t="s">
        <v>3185</v>
      </c>
      <c r="K428" s="141" t="s">
        <v>3191</v>
      </c>
    </row>
    <row r="429" customFormat="false" ht="15" hidden="false" customHeight="false" outlineLevel="0" collapsed="false">
      <c r="B429" s="139" t="n">
        <v>424</v>
      </c>
      <c r="C429" s="140" t="s">
        <v>3626</v>
      </c>
      <c r="D429" s="140" t="s">
        <v>3188</v>
      </c>
      <c r="E429" s="140" t="s">
        <v>3187</v>
      </c>
      <c r="F429" s="140" t="s">
        <v>3181</v>
      </c>
      <c r="G429" s="140" t="s">
        <v>3182</v>
      </c>
      <c r="H429" s="140" t="s">
        <v>3180</v>
      </c>
      <c r="I429" s="140" t="s">
        <v>3186</v>
      </c>
      <c r="J429" s="140" t="s">
        <v>3185</v>
      </c>
      <c r="K429" s="141" t="s">
        <v>3190</v>
      </c>
    </row>
    <row r="430" customFormat="false" ht="15" hidden="false" customHeight="false" outlineLevel="0" collapsed="false">
      <c r="B430" s="139" t="n">
        <v>425</v>
      </c>
      <c r="C430" s="140" t="s">
        <v>3627</v>
      </c>
      <c r="D430" s="140" t="s">
        <v>3188</v>
      </c>
      <c r="E430" s="140" t="s">
        <v>3187</v>
      </c>
      <c r="F430" s="140" t="s">
        <v>3181</v>
      </c>
      <c r="G430" s="140" t="s">
        <v>3182</v>
      </c>
      <c r="H430" s="140" t="s">
        <v>3180</v>
      </c>
      <c r="I430" s="140" t="s">
        <v>3186</v>
      </c>
      <c r="J430" s="140" t="s">
        <v>3185</v>
      </c>
      <c r="K430" s="141" t="s">
        <v>3189</v>
      </c>
    </row>
    <row r="431" customFormat="false" ht="15" hidden="false" customHeight="false" outlineLevel="0" collapsed="false">
      <c r="B431" s="139" t="n">
        <v>426</v>
      </c>
      <c r="C431" s="140" t="s">
        <v>3628</v>
      </c>
      <c r="D431" s="140" t="s">
        <v>3189</v>
      </c>
      <c r="E431" s="140" t="s">
        <v>3190</v>
      </c>
      <c r="F431" s="140" t="s">
        <v>3181</v>
      </c>
      <c r="G431" s="140" t="s">
        <v>3182</v>
      </c>
      <c r="H431" s="140" t="s">
        <v>3180</v>
      </c>
      <c r="I431" s="140" t="s">
        <v>3184</v>
      </c>
      <c r="J431" s="140" t="s">
        <v>3192</v>
      </c>
      <c r="K431" s="141" t="s">
        <v>3191</v>
      </c>
    </row>
    <row r="432" customFormat="false" ht="15" hidden="false" customHeight="false" outlineLevel="0" collapsed="false">
      <c r="B432" s="139" t="n">
        <v>427</v>
      </c>
      <c r="C432" s="140" t="s">
        <v>3629</v>
      </c>
      <c r="D432" s="140" t="s">
        <v>3188</v>
      </c>
      <c r="E432" s="140" t="s">
        <v>3190</v>
      </c>
      <c r="F432" s="140" t="s">
        <v>3181</v>
      </c>
      <c r="G432" s="140" t="s">
        <v>3182</v>
      </c>
      <c r="H432" s="140" t="s">
        <v>3180</v>
      </c>
      <c r="I432" s="140" t="s">
        <v>3184</v>
      </c>
      <c r="J432" s="140" t="s">
        <v>3192</v>
      </c>
      <c r="K432" s="141" t="s">
        <v>3191</v>
      </c>
    </row>
    <row r="433" customFormat="false" ht="15" hidden="false" customHeight="false" outlineLevel="0" collapsed="false">
      <c r="B433" s="139" t="n">
        <v>428</v>
      </c>
      <c r="C433" s="140" t="s">
        <v>3630</v>
      </c>
      <c r="D433" s="140" t="s">
        <v>3188</v>
      </c>
      <c r="E433" s="140" t="s">
        <v>3189</v>
      </c>
      <c r="F433" s="140" t="s">
        <v>3181</v>
      </c>
      <c r="G433" s="140" t="s">
        <v>3182</v>
      </c>
      <c r="H433" s="140" t="s">
        <v>3180</v>
      </c>
      <c r="I433" s="140" t="s">
        <v>3184</v>
      </c>
      <c r="J433" s="140" t="s">
        <v>3192</v>
      </c>
      <c r="K433" s="141" t="s">
        <v>3191</v>
      </c>
    </row>
    <row r="434" customFormat="false" ht="15" hidden="false" customHeight="false" outlineLevel="0" collapsed="false">
      <c r="B434" s="139" t="n">
        <v>429</v>
      </c>
      <c r="C434" s="140" t="s">
        <v>3631</v>
      </c>
      <c r="D434" s="140" t="s">
        <v>3188</v>
      </c>
      <c r="E434" s="140" t="s">
        <v>3190</v>
      </c>
      <c r="F434" s="140" t="s">
        <v>3181</v>
      </c>
      <c r="G434" s="140" t="s">
        <v>3182</v>
      </c>
      <c r="H434" s="140" t="s">
        <v>3180</v>
      </c>
      <c r="I434" s="140" t="s">
        <v>3184</v>
      </c>
      <c r="J434" s="140" t="s">
        <v>3192</v>
      </c>
      <c r="K434" s="141" t="s">
        <v>3189</v>
      </c>
    </row>
    <row r="435" customFormat="false" ht="15" hidden="false" customHeight="false" outlineLevel="0" collapsed="false">
      <c r="B435" s="139" t="n">
        <v>430</v>
      </c>
      <c r="C435" s="140" t="s">
        <v>3632</v>
      </c>
      <c r="D435" s="140" t="s">
        <v>3188</v>
      </c>
      <c r="E435" s="140" t="s">
        <v>3190</v>
      </c>
      <c r="F435" s="140" t="s">
        <v>3181</v>
      </c>
      <c r="G435" s="140" t="s">
        <v>3182</v>
      </c>
      <c r="H435" s="140" t="s">
        <v>3180</v>
      </c>
      <c r="I435" s="140" t="s">
        <v>3184</v>
      </c>
      <c r="J435" s="140" t="s">
        <v>3189</v>
      </c>
      <c r="K435" s="141" t="s">
        <v>3191</v>
      </c>
    </row>
    <row r="436" customFormat="false" ht="15" hidden="false" customHeight="false" outlineLevel="0" collapsed="false">
      <c r="B436" s="139" t="n">
        <v>431</v>
      </c>
      <c r="C436" s="140" t="s">
        <v>3633</v>
      </c>
      <c r="D436" s="140" t="s">
        <v>3182</v>
      </c>
      <c r="E436" s="140" t="s">
        <v>3190</v>
      </c>
      <c r="F436" s="140" t="s">
        <v>3181</v>
      </c>
      <c r="G436" s="140" t="s">
        <v>3184</v>
      </c>
      <c r="H436" s="140" t="s">
        <v>3180</v>
      </c>
      <c r="I436" s="140" t="s">
        <v>3187</v>
      </c>
      <c r="J436" s="140" t="s">
        <v>3192</v>
      </c>
      <c r="K436" s="141" t="s">
        <v>3191</v>
      </c>
    </row>
    <row r="437" customFormat="false" ht="15" hidden="false" customHeight="false" outlineLevel="0" collapsed="false">
      <c r="B437" s="139" t="n">
        <v>432</v>
      </c>
      <c r="C437" s="140" t="s">
        <v>3634</v>
      </c>
      <c r="D437" s="140" t="s">
        <v>3189</v>
      </c>
      <c r="E437" s="140" t="s">
        <v>3187</v>
      </c>
      <c r="F437" s="140" t="s">
        <v>3181</v>
      </c>
      <c r="G437" s="140" t="s">
        <v>3182</v>
      </c>
      <c r="H437" s="140" t="s">
        <v>3180</v>
      </c>
      <c r="I437" s="140" t="s">
        <v>3184</v>
      </c>
      <c r="J437" s="140" t="s">
        <v>3192</v>
      </c>
      <c r="K437" s="141" t="s">
        <v>3191</v>
      </c>
    </row>
    <row r="438" customFormat="false" ht="15" hidden="false" customHeight="false" outlineLevel="0" collapsed="false">
      <c r="B438" s="139" t="n">
        <v>433</v>
      </c>
      <c r="C438" s="140" t="s">
        <v>3635</v>
      </c>
      <c r="D438" s="140" t="s">
        <v>3182</v>
      </c>
      <c r="E438" s="140" t="s">
        <v>3190</v>
      </c>
      <c r="F438" s="140" t="s">
        <v>3181</v>
      </c>
      <c r="G438" s="140" t="s">
        <v>3184</v>
      </c>
      <c r="H438" s="140" t="s">
        <v>3180</v>
      </c>
      <c r="I438" s="140" t="s">
        <v>3187</v>
      </c>
      <c r="J438" s="140" t="s">
        <v>3192</v>
      </c>
      <c r="K438" s="141" t="s">
        <v>3189</v>
      </c>
    </row>
    <row r="439" customFormat="false" ht="15" hidden="false" customHeight="false" outlineLevel="0" collapsed="false">
      <c r="B439" s="139" t="n">
        <v>434</v>
      </c>
      <c r="C439" s="140" t="s">
        <v>3636</v>
      </c>
      <c r="D439" s="140" t="s">
        <v>3182</v>
      </c>
      <c r="E439" s="140" t="s">
        <v>3190</v>
      </c>
      <c r="F439" s="140" t="s">
        <v>3181</v>
      </c>
      <c r="G439" s="140" t="s">
        <v>3184</v>
      </c>
      <c r="H439" s="140" t="s">
        <v>3180</v>
      </c>
      <c r="I439" s="140" t="s">
        <v>3187</v>
      </c>
      <c r="J439" s="140" t="s">
        <v>3189</v>
      </c>
      <c r="K439" s="141" t="s">
        <v>3191</v>
      </c>
    </row>
    <row r="440" customFormat="false" ht="15" hidden="false" customHeight="false" outlineLevel="0" collapsed="false">
      <c r="B440" s="139" t="n">
        <v>435</v>
      </c>
      <c r="C440" s="140" t="s">
        <v>3637</v>
      </c>
      <c r="D440" s="140" t="s">
        <v>3188</v>
      </c>
      <c r="E440" s="140" t="s">
        <v>3187</v>
      </c>
      <c r="F440" s="140" t="s">
        <v>3181</v>
      </c>
      <c r="G440" s="140" t="s">
        <v>3182</v>
      </c>
      <c r="H440" s="140" t="s">
        <v>3180</v>
      </c>
      <c r="I440" s="140" t="s">
        <v>3184</v>
      </c>
      <c r="J440" s="140" t="s">
        <v>3192</v>
      </c>
      <c r="K440" s="141" t="s">
        <v>3191</v>
      </c>
    </row>
    <row r="441" customFormat="false" ht="15" hidden="false" customHeight="false" outlineLevel="0" collapsed="false">
      <c r="B441" s="139" t="n">
        <v>436</v>
      </c>
      <c r="C441" s="140" t="s">
        <v>3638</v>
      </c>
      <c r="D441" s="140" t="s">
        <v>3188</v>
      </c>
      <c r="E441" s="140" t="s">
        <v>3187</v>
      </c>
      <c r="F441" s="140" t="s">
        <v>3181</v>
      </c>
      <c r="G441" s="140" t="s">
        <v>3182</v>
      </c>
      <c r="H441" s="140" t="s">
        <v>3180</v>
      </c>
      <c r="I441" s="140" t="s">
        <v>3184</v>
      </c>
      <c r="J441" s="140" t="s">
        <v>3192</v>
      </c>
      <c r="K441" s="141" t="s">
        <v>3190</v>
      </c>
    </row>
    <row r="442" customFormat="false" ht="15" hidden="false" customHeight="false" outlineLevel="0" collapsed="false">
      <c r="B442" s="139" t="n">
        <v>437</v>
      </c>
      <c r="C442" s="140" t="s">
        <v>3639</v>
      </c>
      <c r="D442" s="140" t="s">
        <v>3188</v>
      </c>
      <c r="E442" s="140" t="s">
        <v>3187</v>
      </c>
      <c r="F442" s="140" t="s">
        <v>3181</v>
      </c>
      <c r="G442" s="140" t="s">
        <v>3182</v>
      </c>
      <c r="H442" s="140" t="s">
        <v>3180</v>
      </c>
      <c r="I442" s="140" t="s">
        <v>3184</v>
      </c>
      <c r="J442" s="140" t="s">
        <v>3190</v>
      </c>
      <c r="K442" s="141" t="s">
        <v>3191</v>
      </c>
    </row>
    <row r="443" customFormat="false" ht="15" hidden="false" customHeight="false" outlineLevel="0" collapsed="false">
      <c r="B443" s="139" t="n">
        <v>438</v>
      </c>
      <c r="C443" s="140" t="s">
        <v>3640</v>
      </c>
      <c r="D443" s="140" t="s">
        <v>3188</v>
      </c>
      <c r="E443" s="140" t="s">
        <v>3187</v>
      </c>
      <c r="F443" s="140" t="s">
        <v>3181</v>
      </c>
      <c r="G443" s="140" t="s">
        <v>3182</v>
      </c>
      <c r="H443" s="140" t="s">
        <v>3180</v>
      </c>
      <c r="I443" s="140" t="s">
        <v>3184</v>
      </c>
      <c r="J443" s="140" t="s">
        <v>3192</v>
      </c>
      <c r="K443" s="141" t="s">
        <v>3189</v>
      </c>
    </row>
    <row r="444" customFormat="false" ht="15" hidden="false" customHeight="false" outlineLevel="0" collapsed="false">
      <c r="B444" s="139" t="n">
        <v>439</v>
      </c>
      <c r="C444" s="140" t="s">
        <v>3641</v>
      </c>
      <c r="D444" s="140" t="s">
        <v>3188</v>
      </c>
      <c r="E444" s="140" t="s">
        <v>3187</v>
      </c>
      <c r="F444" s="140" t="s">
        <v>3181</v>
      </c>
      <c r="G444" s="140" t="s">
        <v>3182</v>
      </c>
      <c r="H444" s="140" t="s">
        <v>3180</v>
      </c>
      <c r="I444" s="140" t="s">
        <v>3184</v>
      </c>
      <c r="J444" s="140" t="s">
        <v>3189</v>
      </c>
      <c r="K444" s="141" t="s">
        <v>3191</v>
      </c>
    </row>
    <row r="445" customFormat="false" ht="15" hidden="false" customHeight="false" outlineLevel="0" collapsed="false">
      <c r="B445" s="139" t="n">
        <v>440</v>
      </c>
      <c r="C445" s="140" t="s">
        <v>3642</v>
      </c>
      <c r="D445" s="140" t="s">
        <v>3188</v>
      </c>
      <c r="E445" s="140" t="s">
        <v>3187</v>
      </c>
      <c r="F445" s="140" t="s">
        <v>3181</v>
      </c>
      <c r="G445" s="140" t="s">
        <v>3182</v>
      </c>
      <c r="H445" s="140" t="s">
        <v>3180</v>
      </c>
      <c r="I445" s="140" t="s">
        <v>3184</v>
      </c>
      <c r="J445" s="140" t="s">
        <v>3189</v>
      </c>
      <c r="K445" s="141" t="s">
        <v>3190</v>
      </c>
    </row>
    <row r="446" customFormat="false" ht="15" hidden="false" customHeight="false" outlineLevel="0" collapsed="false">
      <c r="B446" s="139" t="n">
        <v>441</v>
      </c>
      <c r="C446" s="140" t="s">
        <v>3643</v>
      </c>
      <c r="D446" s="140" t="s">
        <v>3182</v>
      </c>
      <c r="E446" s="140" t="s">
        <v>3190</v>
      </c>
      <c r="F446" s="140" t="s">
        <v>3181</v>
      </c>
      <c r="G446" s="140" t="s">
        <v>3184</v>
      </c>
      <c r="H446" s="140" t="s">
        <v>3180</v>
      </c>
      <c r="I446" s="140" t="s">
        <v>3186</v>
      </c>
      <c r="J446" s="140" t="s">
        <v>3192</v>
      </c>
      <c r="K446" s="141" t="s">
        <v>3191</v>
      </c>
    </row>
    <row r="447" customFormat="false" ht="15" hidden="false" customHeight="false" outlineLevel="0" collapsed="false">
      <c r="B447" s="139" t="n">
        <v>442</v>
      </c>
      <c r="C447" s="140" t="s">
        <v>3644</v>
      </c>
      <c r="D447" s="140" t="s">
        <v>3182</v>
      </c>
      <c r="E447" s="140" t="s">
        <v>3189</v>
      </c>
      <c r="F447" s="140" t="s">
        <v>3181</v>
      </c>
      <c r="G447" s="140" t="s">
        <v>3184</v>
      </c>
      <c r="H447" s="140" t="s">
        <v>3180</v>
      </c>
      <c r="I447" s="140" t="s">
        <v>3186</v>
      </c>
      <c r="J447" s="140" t="s">
        <v>3192</v>
      </c>
      <c r="K447" s="141" t="s">
        <v>3191</v>
      </c>
    </row>
    <row r="448" customFormat="false" ht="15" hidden="false" customHeight="false" outlineLevel="0" collapsed="false">
      <c r="B448" s="139" t="n">
        <v>443</v>
      </c>
      <c r="C448" s="140" t="s">
        <v>3645</v>
      </c>
      <c r="D448" s="140" t="s">
        <v>3182</v>
      </c>
      <c r="E448" s="140" t="s">
        <v>3190</v>
      </c>
      <c r="F448" s="140" t="s">
        <v>3181</v>
      </c>
      <c r="G448" s="140" t="s">
        <v>3184</v>
      </c>
      <c r="H448" s="140" t="s">
        <v>3180</v>
      </c>
      <c r="I448" s="140" t="s">
        <v>3186</v>
      </c>
      <c r="J448" s="140" t="s">
        <v>3192</v>
      </c>
      <c r="K448" s="141" t="s">
        <v>3189</v>
      </c>
    </row>
    <row r="449" customFormat="false" ht="15" hidden="false" customHeight="false" outlineLevel="0" collapsed="false">
      <c r="B449" s="139" t="n">
        <v>444</v>
      </c>
      <c r="C449" s="140" t="s">
        <v>3646</v>
      </c>
      <c r="D449" s="140" t="s">
        <v>3182</v>
      </c>
      <c r="E449" s="140" t="s">
        <v>3190</v>
      </c>
      <c r="F449" s="140" t="s">
        <v>3181</v>
      </c>
      <c r="G449" s="140" t="s">
        <v>3184</v>
      </c>
      <c r="H449" s="140" t="s">
        <v>3180</v>
      </c>
      <c r="I449" s="140" t="s">
        <v>3186</v>
      </c>
      <c r="J449" s="140" t="s">
        <v>3189</v>
      </c>
      <c r="K449" s="141" t="s">
        <v>3191</v>
      </c>
    </row>
    <row r="450" customFormat="false" ht="15" hidden="false" customHeight="false" outlineLevel="0" collapsed="false">
      <c r="B450" s="139" t="n">
        <v>445</v>
      </c>
      <c r="C450" s="140" t="s">
        <v>3647</v>
      </c>
      <c r="D450" s="140" t="s">
        <v>3188</v>
      </c>
      <c r="E450" s="140" t="s">
        <v>3186</v>
      </c>
      <c r="F450" s="140" t="s">
        <v>3181</v>
      </c>
      <c r="G450" s="140" t="s">
        <v>3182</v>
      </c>
      <c r="H450" s="140" t="s">
        <v>3180</v>
      </c>
      <c r="I450" s="140" t="s">
        <v>3184</v>
      </c>
      <c r="J450" s="140" t="s">
        <v>3192</v>
      </c>
      <c r="K450" s="141" t="s">
        <v>3191</v>
      </c>
    </row>
    <row r="451" customFormat="false" ht="15" hidden="false" customHeight="false" outlineLevel="0" collapsed="false">
      <c r="B451" s="139" t="n">
        <v>446</v>
      </c>
      <c r="C451" s="140" t="s">
        <v>3648</v>
      </c>
      <c r="D451" s="140" t="s">
        <v>3182</v>
      </c>
      <c r="E451" s="140" t="s">
        <v>3190</v>
      </c>
      <c r="F451" s="140" t="s">
        <v>3181</v>
      </c>
      <c r="G451" s="140" t="s">
        <v>3184</v>
      </c>
      <c r="H451" s="140" t="s">
        <v>3180</v>
      </c>
      <c r="I451" s="140" t="s">
        <v>3186</v>
      </c>
      <c r="J451" s="140" t="s">
        <v>3192</v>
      </c>
      <c r="K451" s="141" t="s">
        <v>3188</v>
      </c>
    </row>
    <row r="452" customFormat="false" ht="15" hidden="false" customHeight="false" outlineLevel="0" collapsed="false">
      <c r="B452" s="139" t="n">
        <v>447</v>
      </c>
      <c r="C452" s="140" t="s">
        <v>3649</v>
      </c>
      <c r="D452" s="140" t="s">
        <v>3188</v>
      </c>
      <c r="E452" s="140" t="s">
        <v>3190</v>
      </c>
      <c r="F452" s="140" t="s">
        <v>3181</v>
      </c>
      <c r="G452" s="140" t="s">
        <v>3182</v>
      </c>
      <c r="H452" s="140" t="s">
        <v>3180</v>
      </c>
      <c r="I452" s="140" t="s">
        <v>3186</v>
      </c>
      <c r="J452" s="140" t="s">
        <v>3184</v>
      </c>
      <c r="K452" s="141" t="s">
        <v>3191</v>
      </c>
    </row>
    <row r="453" customFormat="false" ht="15" hidden="false" customHeight="false" outlineLevel="0" collapsed="false">
      <c r="B453" s="139" t="n">
        <v>448</v>
      </c>
      <c r="C453" s="140" t="s">
        <v>3650</v>
      </c>
      <c r="D453" s="140" t="s">
        <v>3188</v>
      </c>
      <c r="E453" s="140" t="s">
        <v>3186</v>
      </c>
      <c r="F453" s="140" t="s">
        <v>3181</v>
      </c>
      <c r="G453" s="140" t="s">
        <v>3182</v>
      </c>
      <c r="H453" s="140" t="s">
        <v>3180</v>
      </c>
      <c r="I453" s="140" t="s">
        <v>3184</v>
      </c>
      <c r="J453" s="140" t="s">
        <v>3192</v>
      </c>
      <c r="K453" s="141" t="s">
        <v>3189</v>
      </c>
    </row>
    <row r="454" customFormat="false" ht="15" hidden="false" customHeight="false" outlineLevel="0" collapsed="false">
      <c r="B454" s="139" t="n">
        <v>449</v>
      </c>
      <c r="C454" s="140" t="s">
        <v>3651</v>
      </c>
      <c r="D454" s="140" t="s">
        <v>3188</v>
      </c>
      <c r="E454" s="140" t="s">
        <v>3186</v>
      </c>
      <c r="F454" s="140" t="s">
        <v>3181</v>
      </c>
      <c r="G454" s="140" t="s">
        <v>3182</v>
      </c>
      <c r="H454" s="140" t="s">
        <v>3180</v>
      </c>
      <c r="I454" s="140" t="s">
        <v>3184</v>
      </c>
      <c r="J454" s="140" t="s">
        <v>3189</v>
      </c>
      <c r="K454" s="141" t="s">
        <v>3191</v>
      </c>
    </row>
    <row r="455" customFormat="false" ht="15" hidden="false" customHeight="false" outlineLevel="0" collapsed="false">
      <c r="B455" s="139" t="n">
        <v>450</v>
      </c>
      <c r="C455" s="140" t="s">
        <v>3652</v>
      </c>
      <c r="D455" s="140" t="s">
        <v>3188</v>
      </c>
      <c r="E455" s="140" t="s">
        <v>3190</v>
      </c>
      <c r="F455" s="140" t="s">
        <v>3181</v>
      </c>
      <c r="G455" s="140" t="s">
        <v>3182</v>
      </c>
      <c r="H455" s="140" t="s">
        <v>3180</v>
      </c>
      <c r="I455" s="140" t="s">
        <v>3186</v>
      </c>
      <c r="J455" s="140" t="s">
        <v>3184</v>
      </c>
      <c r="K455" s="141" t="s">
        <v>3189</v>
      </c>
    </row>
    <row r="456" customFormat="false" ht="15" hidden="false" customHeight="false" outlineLevel="0" collapsed="false">
      <c r="B456" s="139" t="n">
        <v>451</v>
      </c>
      <c r="C456" s="140" t="s">
        <v>3653</v>
      </c>
      <c r="D456" s="140" t="s">
        <v>3182</v>
      </c>
      <c r="E456" s="140" t="s">
        <v>3187</v>
      </c>
      <c r="F456" s="140" t="s">
        <v>3181</v>
      </c>
      <c r="G456" s="140" t="s">
        <v>3184</v>
      </c>
      <c r="H456" s="140" t="s">
        <v>3180</v>
      </c>
      <c r="I456" s="140" t="s">
        <v>3186</v>
      </c>
      <c r="J456" s="140" t="s">
        <v>3192</v>
      </c>
      <c r="K456" s="141" t="s">
        <v>3191</v>
      </c>
    </row>
    <row r="457" customFormat="false" ht="15" hidden="false" customHeight="false" outlineLevel="0" collapsed="false">
      <c r="B457" s="139" t="n">
        <v>452</v>
      </c>
      <c r="C457" s="140" t="s">
        <v>3654</v>
      </c>
      <c r="D457" s="140" t="s">
        <v>3182</v>
      </c>
      <c r="E457" s="140" t="s">
        <v>3187</v>
      </c>
      <c r="F457" s="140" t="s">
        <v>3181</v>
      </c>
      <c r="G457" s="140" t="s">
        <v>3184</v>
      </c>
      <c r="H457" s="140" t="s">
        <v>3180</v>
      </c>
      <c r="I457" s="140" t="s">
        <v>3186</v>
      </c>
      <c r="J457" s="140" t="s">
        <v>3192</v>
      </c>
      <c r="K457" s="141" t="s">
        <v>3190</v>
      </c>
    </row>
    <row r="458" customFormat="false" ht="15" hidden="false" customHeight="false" outlineLevel="0" collapsed="false">
      <c r="B458" s="139" t="n">
        <v>453</v>
      </c>
      <c r="C458" s="140" t="s">
        <v>3655</v>
      </c>
      <c r="D458" s="140" t="s">
        <v>3182</v>
      </c>
      <c r="E458" s="140" t="s">
        <v>3187</v>
      </c>
      <c r="F458" s="140" t="s">
        <v>3181</v>
      </c>
      <c r="G458" s="140" t="s">
        <v>3184</v>
      </c>
      <c r="H458" s="140" t="s">
        <v>3180</v>
      </c>
      <c r="I458" s="140" t="s">
        <v>3186</v>
      </c>
      <c r="J458" s="140" t="s">
        <v>3190</v>
      </c>
      <c r="K458" s="141" t="s">
        <v>3191</v>
      </c>
    </row>
    <row r="459" customFormat="false" ht="15" hidden="false" customHeight="false" outlineLevel="0" collapsed="false">
      <c r="B459" s="139" t="n">
        <v>454</v>
      </c>
      <c r="C459" s="140" t="s">
        <v>3656</v>
      </c>
      <c r="D459" s="140" t="s">
        <v>3182</v>
      </c>
      <c r="E459" s="140" t="s">
        <v>3187</v>
      </c>
      <c r="F459" s="140" t="s">
        <v>3181</v>
      </c>
      <c r="G459" s="140" t="s">
        <v>3184</v>
      </c>
      <c r="H459" s="140" t="s">
        <v>3180</v>
      </c>
      <c r="I459" s="140" t="s">
        <v>3186</v>
      </c>
      <c r="J459" s="140" t="s">
        <v>3192</v>
      </c>
      <c r="K459" s="141" t="s">
        <v>3189</v>
      </c>
    </row>
    <row r="460" customFormat="false" ht="15" hidden="false" customHeight="false" outlineLevel="0" collapsed="false">
      <c r="B460" s="139" t="n">
        <v>455</v>
      </c>
      <c r="C460" s="140" t="s">
        <v>3657</v>
      </c>
      <c r="D460" s="140" t="s">
        <v>3182</v>
      </c>
      <c r="E460" s="140" t="s">
        <v>3187</v>
      </c>
      <c r="F460" s="140" t="s">
        <v>3181</v>
      </c>
      <c r="G460" s="140" t="s">
        <v>3184</v>
      </c>
      <c r="H460" s="140" t="s">
        <v>3180</v>
      </c>
      <c r="I460" s="140" t="s">
        <v>3186</v>
      </c>
      <c r="J460" s="140" t="s">
        <v>3189</v>
      </c>
      <c r="K460" s="141" t="s">
        <v>3191</v>
      </c>
    </row>
    <row r="461" customFormat="false" ht="15" hidden="false" customHeight="false" outlineLevel="0" collapsed="false">
      <c r="B461" s="139" t="n">
        <v>456</v>
      </c>
      <c r="C461" s="140" t="s">
        <v>3658</v>
      </c>
      <c r="D461" s="140" t="s">
        <v>3182</v>
      </c>
      <c r="E461" s="140" t="s">
        <v>3187</v>
      </c>
      <c r="F461" s="140" t="s">
        <v>3181</v>
      </c>
      <c r="G461" s="140" t="s">
        <v>3184</v>
      </c>
      <c r="H461" s="140" t="s">
        <v>3180</v>
      </c>
      <c r="I461" s="140" t="s">
        <v>3186</v>
      </c>
      <c r="J461" s="140" t="s">
        <v>3189</v>
      </c>
      <c r="K461" s="141" t="s">
        <v>3190</v>
      </c>
    </row>
    <row r="462" customFormat="false" ht="15" hidden="false" customHeight="false" outlineLevel="0" collapsed="false">
      <c r="B462" s="139" t="n">
        <v>457</v>
      </c>
      <c r="C462" s="140" t="s">
        <v>3659</v>
      </c>
      <c r="D462" s="140" t="s">
        <v>3182</v>
      </c>
      <c r="E462" s="140" t="s">
        <v>3187</v>
      </c>
      <c r="F462" s="140" t="s">
        <v>3181</v>
      </c>
      <c r="G462" s="140" t="s">
        <v>3184</v>
      </c>
      <c r="H462" s="140" t="s">
        <v>3180</v>
      </c>
      <c r="I462" s="140" t="s">
        <v>3186</v>
      </c>
      <c r="J462" s="140" t="s">
        <v>3192</v>
      </c>
      <c r="K462" s="141" t="s">
        <v>3188</v>
      </c>
    </row>
    <row r="463" customFormat="false" ht="15" hidden="false" customHeight="false" outlineLevel="0" collapsed="false">
      <c r="B463" s="139" t="n">
        <v>458</v>
      </c>
      <c r="C463" s="140" t="s">
        <v>3660</v>
      </c>
      <c r="D463" s="140" t="s">
        <v>3188</v>
      </c>
      <c r="E463" s="140" t="s">
        <v>3187</v>
      </c>
      <c r="F463" s="140" t="s">
        <v>3181</v>
      </c>
      <c r="G463" s="140" t="s">
        <v>3182</v>
      </c>
      <c r="H463" s="140" t="s">
        <v>3180</v>
      </c>
      <c r="I463" s="140" t="s">
        <v>3186</v>
      </c>
      <c r="J463" s="140" t="s">
        <v>3184</v>
      </c>
      <c r="K463" s="141" t="s">
        <v>3191</v>
      </c>
    </row>
    <row r="464" customFormat="false" ht="15" hidden="false" customHeight="false" outlineLevel="0" collapsed="false">
      <c r="B464" s="139" t="n">
        <v>459</v>
      </c>
      <c r="C464" s="140" t="s">
        <v>3661</v>
      </c>
      <c r="D464" s="140" t="s">
        <v>3188</v>
      </c>
      <c r="E464" s="140" t="s">
        <v>3187</v>
      </c>
      <c r="F464" s="140" t="s">
        <v>3181</v>
      </c>
      <c r="G464" s="140" t="s">
        <v>3182</v>
      </c>
      <c r="H464" s="140" t="s">
        <v>3180</v>
      </c>
      <c r="I464" s="140" t="s">
        <v>3186</v>
      </c>
      <c r="J464" s="140" t="s">
        <v>3184</v>
      </c>
      <c r="K464" s="141" t="s">
        <v>3190</v>
      </c>
    </row>
    <row r="465" customFormat="false" ht="15" hidden="false" customHeight="false" outlineLevel="0" collapsed="false">
      <c r="B465" s="139" t="n">
        <v>460</v>
      </c>
      <c r="C465" s="140" t="s">
        <v>3662</v>
      </c>
      <c r="D465" s="140" t="s">
        <v>3188</v>
      </c>
      <c r="E465" s="140" t="s">
        <v>3187</v>
      </c>
      <c r="F465" s="140" t="s">
        <v>3181</v>
      </c>
      <c r="G465" s="140" t="s">
        <v>3182</v>
      </c>
      <c r="H465" s="140" t="s">
        <v>3180</v>
      </c>
      <c r="I465" s="140" t="s">
        <v>3186</v>
      </c>
      <c r="J465" s="140" t="s">
        <v>3184</v>
      </c>
      <c r="K465" s="141" t="s">
        <v>3189</v>
      </c>
    </row>
    <row r="466" customFormat="false" ht="15" hidden="false" customHeight="false" outlineLevel="0" collapsed="false">
      <c r="B466" s="139" t="n">
        <v>461</v>
      </c>
      <c r="C466" s="140" t="s">
        <v>3663</v>
      </c>
      <c r="D466" s="140" t="s">
        <v>3185</v>
      </c>
      <c r="E466" s="140" t="s">
        <v>3190</v>
      </c>
      <c r="F466" s="140" t="s">
        <v>3181</v>
      </c>
      <c r="G466" s="140" t="s">
        <v>3182</v>
      </c>
      <c r="H466" s="140" t="s">
        <v>3180</v>
      </c>
      <c r="I466" s="140" t="s">
        <v>3184</v>
      </c>
      <c r="J466" s="140" t="s">
        <v>3192</v>
      </c>
      <c r="K466" s="141" t="s">
        <v>3191</v>
      </c>
    </row>
    <row r="467" customFormat="false" ht="15" hidden="false" customHeight="false" outlineLevel="0" collapsed="false">
      <c r="B467" s="139" t="n">
        <v>462</v>
      </c>
      <c r="C467" s="140" t="s">
        <v>3664</v>
      </c>
      <c r="D467" s="140" t="s">
        <v>3185</v>
      </c>
      <c r="E467" s="140" t="s">
        <v>3189</v>
      </c>
      <c r="F467" s="140" t="s">
        <v>3181</v>
      </c>
      <c r="G467" s="140" t="s">
        <v>3182</v>
      </c>
      <c r="H467" s="140" t="s">
        <v>3180</v>
      </c>
      <c r="I467" s="140" t="s">
        <v>3184</v>
      </c>
      <c r="J467" s="140" t="s">
        <v>3192</v>
      </c>
      <c r="K467" s="141" t="s">
        <v>3191</v>
      </c>
    </row>
    <row r="468" customFormat="false" ht="15" hidden="false" customHeight="false" outlineLevel="0" collapsed="false">
      <c r="B468" s="139" t="n">
        <v>463</v>
      </c>
      <c r="C468" s="140" t="s">
        <v>3665</v>
      </c>
      <c r="D468" s="140" t="s">
        <v>3185</v>
      </c>
      <c r="E468" s="140" t="s">
        <v>3190</v>
      </c>
      <c r="F468" s="140" t="s">
        <v>3181</v>
      </c>
      <c r="G468" s="140" t="s">
        <v>3182</v>
      </c>
      <c r="H468" s="140" t="s">
        <v>3180</v>
      </c>
      <c r="I468" s="140" t="s">
        <v>3184</v>
      </c>
      <c r="J468" s="140" t="s">
        <v>3192</v>
      </c>
      <c r="K468" s="141" t="s">
        <v>3189</v>
      </c>
    </row>
    <row r="469" customFormat="false" ht="15" hidden="false" customHeight="false" outlineLevel="0" collapsed="false">
      <c r="B469" s="139" t="n">
        <v>464</v>
      </c>
      <c r="C469" s="140" t="s">
        <v>3666</v>
      </c>
      <c r="D469" s="140" t="s">
        <v>3185</v>
      </c>
      <c r="E469" s="140" t="s">
        <v>3190</v>
      </c>
      <c r="F469" s="140" t="s">
        <v>3181</v>
      </c>
      <c r="G469" s="140" t="s">
        <v>3182</v>
      </c>
      <c r="H469" s="140" t="s">
        <v>3180</v>
      </c>
      <c r="I469" s="140" t="s">
        <v>3184</v>
      </c>
      <c r="J469" s="140" t="s">
        <v>3189</v>
      </c>
      <c r="K469" s="141" t="s">
        <v>3191</v>
      </c>
    </row>
    <row r="470" customFormat="false" ht="15" hidden="false" customHeight="false" outlineLevel="0" collapsed="false">
      <c r="B470" s="139" t="n">
        <v>465</v>
      </c>
      <c r="C470" s="140" t="s">
        <v>3667</v>
      </c>
      <c r="D470" s="140" t="s">
        <v>3188</v>
      </c>
      <c r="E470" s="140" t="s">
        <v>3185</v>
      </c>
      <c r="F470" s="140" t="s">
        <v>3181</v>
      </c>
      <c r="G470" s="140" t="s">
        <v>3182</v>
      </c>
      <c r="H470" s="140" t="s">
        <v>3180</v>
      </c>
      <c r="I470" s="140" t="s">
        <v>3184</v>
      </c>
      <c r="J470" s="140" t="s">
        <v>3192</v>
      </c>
      <c r="K470" s="141" t="s">
        <v>3191</v>
      </c>
    </row>
    <row r="471" customFormat="false" ht="15" hidden="false" customHeight="false" outlineLevel="0" collapsed="false">
      <c r="B471" s="139" t="n">
        <v>466</v>
      </c>
      <c r="C471" s="140" t="s">
        <v>3668</v>
      </c>
      <c r="D471" s="140" t="s">
        <v>3188</v>
      </c>
      <c r="E471" s="140" t="s">
        <v>3190</v>
      </c>
      <c r="F471" s="140" t="s">
        <v>3181</v>
      </c>
      <c r="G471" s="140" t="s">
        <v>3182</v>
      </c>
      <c r="H471" s="140" t="s">
        <v>3180</v>
      </c>
      <c r="I471" s="140" t="s">
        <v>3184</v>
      </c>
      <c r="J471" s="140" t="s">
        <v>3192</v>
      </c>
      <c r="K471" s="141" t="s">
        <v>3185</v>
      </c>
    </row>
    <row r="472" customFormat="false" ht="15" hidden="false" customHeight="false" outlineLevel="0" collapsed="false">
      <c r="B472" s="139" t="n">
        <v>467</v>
      </c>
      <c r="C472" s="140" t="s">
        <v>3669</v>
      </c>
      <c r="D472" s="140" t="s">
        <v>3188</v>
      </c>
      <c r="E472" s="140" t="s">
        <v>3190</v>
      </c>
      <c r="F472" s="140" t="s">
        <v>3181</v>
      </c>
      <c r="G472" s="140" t="s">
        <v>3182</v>
      </c>
      <c r="H472" s="140" t="s">
        <v>3180</v>
      </c>
      <c r="I472" s="140" t="s">
        <v>3184</v>
      </c>
      <c r="J472" s="140" t="s">
        <v>3185</v>
      </c>
      <c r="K472" s="141" t="s">
        <v>3191</v>
      </c>
    </row>
    <row r="473" customFormat="false" ht="15" hidden="false" customHeight="false" outlineLevel="0" collapsed="false">
      <c r="B473" s="139" t="n">
        <v>468</v>
      </c>
      <c r="C473" s="140" t="s">
        <v>3670</v>
      </c>
      <c r="D473" s="140" t="s">
        <v>3188</v>
      </c>
      <c r="E473" s="140" t="s">
        <v>3185</v>
      </c>
      <c r="F473" s="140" t="s">
        <v>3181</v>
      </c>
      <c r="G473" s="140" t="s">
        <v>3182</v>
      </c>
      <c r="H473" s="140" t="s">
        <v>3180</v>
      </c>
      <c r="I473" s="140" t="s">
        <v>3184</v>
      </c>
      <c r="J473" s="140" t="s">
        <v>3192</v>
      </c>
      <c r="K473" s="141" t="s">
        <v>3189</v>
      </c>
    </row>
    <row r="474" customFormat="false" ht="15" hidden="false" customHeight="false" outlineLevel="0" collapsed="false">
      <c r="B474" s="139" t="n">
        <v>469</v>
      </c>
      <c r="C474" s="140" t="s">
        <v>3671</v>
      </c>
      <c r="D474" s="140" t="s">
        <v>3188</v>
      </c>
      <c r="E474" s="140" t="s">
        <v>3185</v>
      </c>
      <c r="F474" s="140" t="s">
        <v>3181</v>
      </c>
      <c r="G474" s="140" t="s">
        <v>3182</v>
      </c>
      <c r="H474" s="140" t="s">
        <v>3180</v>
      </c>
      <c r="I474" s="140" t="s">
        <v>3184</v>
      </c>
      <c r="J474" s="140" t="s">
        <v>3189</v>
      </c>
      <c r="K474" s="141" t="s">
        <v>3191</v>
      </c>
    </row>
    <row r="475" customFormat="false" ht="15" hidden="false" customHeight="false" outlineLevel="0" collapsed="false">
      <c r="B475" s="139" t="n">
        <v>470</v>
      </c>
      <c r="C475" s="140" t="s">
        <v>3672</v>
      </c>
      <c r="D475" s="140" t="s">
        <v>3188</v>
      </c>
      <c r="E475" s="140" t="s">
        <v>3190</v>
      </c>
      <c r="F475" s="140" t="s">
        <v>3181</v>
      </c>
      <c r="G475" s="140" t="s">
        <v>3182</v>
      </c>
      <c r="H475" s="140" t="s">
        <v>3180</v>
      </c>
      <c r="I475" s="140" t="s">
        <v>3184</v>
      </c>
      <c r="J475" s="140" t="s">
        <v>3185</v>
      </c>
      <c r="K475" s="141" t="s">
        <v>3189</v>
      </c>
    </row>
    <row r="476" customFormat="false" ht="15" hidden="false" customHeight="false" outlineLevel="0" collapsed="false">
      <c r="B476" s="139" t="n">
        <v>471</v>
      </c>
      <c r="C476" s="140" t="s">
        <v>3673</v>
      </c>
      <c r="D476" s="140" t="s">
        <v>3185</v>
      </c>
      <c r="E476" s="140" t="s">
        <v>3187</v>
      </c>
      <c r="F476" s="140" t="s">
        <v>3181</v>
      </c>
      <c r="G476" s="140" t="s">
        <v>3182</v>
      </c>
      <c r="H476" s="140" t="s">
        <v>3180</v>
      </c>
      <c r="I476" s="140" t="s">
        <v>3184</v>
      </c>
      <c r="J476" s="140" t="s">
        <v>3192</v>
      </c>
      <c r="K476" s="141" t="s">
        <v>3191</v>
      </c>
    </row>
    <row r="477" customFormat="false" ht="15" hidden="false" customHeight="false" outlineLevel="0" collapsed="false">
      <c r="B477" s="139" t="n">
        <v>472</v>
      </c>
      <c r="C477" s="140" t="s">
        <v>3674</v>
      </c>
      <c r="D477" s="140" t="s">
        <v>3185</v>
      </c>
      <c r="E477" s="140" t="s">
        <v>3187</v>
      </c>
      <c r="F477" s="140" t="s">
        <v>3181</v>
      </c>
      <c r="G477" s="140" t="s">
        <v>3182</v>
      </c>
      <c r="H477" s="140" t="s">
        <v>3180</v>
      </c>
      <c r="I477" s="140" t="s">
        <v>3184</v>
      </c>
      <c r="J477" s="140" t="s">
        <v>3192</v>
      </c>
      <c r="K477" s="141" t="s">
        <v>3190</v>
      </c>
    </row>
    <row r="478" customFormat="false" ht="15" hidden="false" customHeight="false" outlineLevel="0" collapsed="false">
      <c r="B478" s="139" t="n">
        <v>473</v>
      </c>
      <c r="C478" s="140" t="s">
        <v>3675</v>
      </c>
      <c r="D478" s="140" t="s">
        <v>3185</v>
      </c>
      <c r="E478" s="140" t="s">
        <v>3187</v>
      </c>
      <c r="F478" s="140" t="s">
        <v>3181</v>
      </c>
      <c r="G478" s="140" t="s">
        <v>3182</v>
      </c>
      <c r="H478" s="140" t="s">
        <v>3180</v>
      </c>
      <c r="I478" s="140" t="s">
        <v>3184</v>
      </c>
      <c r="J478" s="140" t="s">
        <v>3190</v>
      </c>
      <c r="K478" s="141" t="s">
        <v>3191</v>
      </c>
    </row>
    <row r="479" customFormat="false" ht="15" hidden="false" customHeight="false" outlineLevel="0" collapsed="false">
      <c r="B479" s="139" t="n">
        <v>474</v>
      </c>
      <c r="C479" s="140" t="s">
        <v>3676</v>
      </c>
      <c r="D479" s="140" t="s">
        <v>3185</v>
      </c>
      <c r="E479" s="140" t="s">
        <v>3187</v>
      </c>
      <c r="F479" s="140" t="s">
        <v>3181</v>
      </c>
      <c r="G479" s="140" t="s">
        <v>3182</v>
      </c>
      <c r="H479" s="140" t="s">
        <v>3180</v>
      </c>
      <c r="I479" s="140" t="s">
        <v>3184</v>
      </c>
      <c r="J479" s="140" t="s">
        <v>3192</v>
      </c>
      <c r="K479" s="141" t="s">
        <v>3189</v>
      </c>
    </row>
    <row r="480" customFormat="false" ht="15" hidden="false" customHeight="false" outlineLevel="0" collapsed="false">
      <c r="B480" s="139" t="n">
        <v>475</v>
      </c>
      <c r="C480" s="140" t="s">
        <v>3677</v>
      </c>
      <c r="D480" s="140" t="s">
        <v>3185</v>
      </c>
      <c r="E480" s="140" t="s">
        <v>3187</v>
      </c>
      <c r="F480" s="140" t="s">
        <v>3181</v>
      </c>
      <c r="G480" s="140" t="s">
        <v>3182</v>
      </c>
      <c r="H480" s="140" t="s">
        <v>3180</v>
      </c>
      <c r="I480" s="140" t="s">
        <v>3184</v>
      </c>
      <c r="J480" s="140" t="s">
        <v>3189</v>
      </c>
      <c r="K480" s="141" t="s">
        <v>3191</v>
      </c>
    </row>
    <row r="481" customFormat="false" ht="15" hidden="false" customHeight="false" outlineLevel="0" collapsed="false">
      <c r="B481" s="139" t="n">
        <v>476</v>
      </c>
      <c r="C481" s="140" t="s">
        <v>3678</v>
      </c>
      <c r="D481" s="140" t="s">
        <v>3185</v>
      </c>
      <c r="E481" s="140" t="s">
        <v>3187</v>
      </c>
      <c r="F481" s="140" t="s">
        <v>3181</v>
      </c>
      <c r="G481" s="140" t="s">
        <v>3182</v>
      </c>
      <c r="H481" s="140" t="s">
        <v>3180</v>
      </c>
      <c r="I481" s="140" t="s">
        <v>3184</v>
      </c>
      <c r="J481" s="140" t="s">
        <v>3189</v>
      </c>
      <c r="K481" s="141" t="s">
        <v>3190</v>
      </c>
    </row>
    <row r="482" customFormat="false" ht="15" hidden="false" customHeight="false" outlineLevel="0" collapsed="false">
      <c r="B482" s="139" t="n">
        <v>477</v>
      </c>
      <c r="C482" s="140" t="s">
        <v>3679</v>
      </c>
      <c r="D482" s="140" t="s">
        <v>3188</v>
      </c>
      <c r="E482" s="140" t="s">
        <v>3187</v>
      </c>
      <c r="F482" s="140" t="s">
        <v>3181</v>
      </c>
      <c r="G482" s="140" t="s">
        <v>3182</v>
      </c>
      <c r="H482" s="140" t="s">
        <v>3180</v>
      </c>
      <c r="I482" s="140" t="s">
        <v>3184</v>
      </c>
      <c r="J482" s="140" t="s">
        <v>3192</v>
      </c>
      <c r="K482" s="141" t="s">
        <v>3185</v>
      </c>
    </row>
    <row r="483" customFormat="false" ht="15" hidden="false" customHeight="false" outlineLevel="0" collapsed="false">
      <c r="B483" s="139" t="n">
        <v>478</v>
      </c>
      <c r="C483" s="140" t="s">
        <v>3680</v>
      </c>
      <c r="D483" s="140" t="s">
        <v>3188</v>
      </c>
      <c r="E483" s="140" t="s">
        <v>3187</v>
      </c>
      <c r="F483" s="140" t="s">
        <v>3181</v>
      </c>
      <c r="G483" s="140" t="s">
        <v>3182</v>
      </c>
      <c r="H483" s="140" t="s">
        <v>3180</v>
      </c>
      <c r="I483" s="140" t="s">
        <v>3184</v>
      </c>
      <c r="J483" s="140" t="s">
        <v>3185</v>
      </c>
      <c r="K483" s="141" t="s">
        <v>3191</v>
      </c>
    </row>
    <row r="484" customFormat="false" ht="15" hidden="false" customHeight="false" outlineLevel="0" collapsed="false">
      <c r="B484" s="139" t="n">
        <v>479</v>
      </c>
      <c r="C484" s="140" t="s">
        <v>3681</v>
      </c>
      <c r="D484" s="140" t="s">
        <v>3188</v>
      </c>
      <c r="E484" s="140" t="s">
        <v>3187</v>
      </c>
      <c r="F484" s="140" t="s">
        <v>3181</v>
      </c>
      <c r="G484" s="140" t="s">
        <v>3182</v>
      </c>
      <c r="H484" s="140" t="s">
        <v>3180</v>
      </c>
      <c r="I484" s="140" t="s">
        <v>3184</v>
      </c>
      <c r="J484" s="140" t="s">
        <v>3185</v>
      </c>
      <c r="K484" s="141" t="s">
        <v>3190</v>
      </c>
    </row>
    <row r="485" customFormat="false" ht="15" hidden="false" customHeight="false" outlineLevel="0" collapsed="false">
      <c r="B485" s="139" t="n">
        <v>480</v>
      </c>
      <c r="C485" s="140" t="s">
        <v>3682</v>
      </c>
      <c r="D485" s="140" t="s">
        <v>3188</v>
      </c>
      <c r="E485" s="140" t="s">
        <v>3187</v>
      </c>
      <c r="F485" s="140" t="s">
        <v>3181</v>
      </c>
      <c r="G485" s="140" t="s">
        <v>3182</v>
      </c>
      <c r="H485" s="140" t="s">
        <v>3180</v>
      </c>
      <c r="I485" s="140" t="s">
        <v>3184</v>
      </c>
      <c r="J485" s="140" t="s">
        <v>3185</v>
      </c>
      <c r="K485" s="141" t="s">
        <v>3189</v>
      </c>
    </row>
    <row r="486" customFormat="false" ht="15" hidden="false" customHeight="false" outlineLevel="0" collapsed="false">
      <c r="B486" s="139" t="n">
        <v>481</v>
      </c>
      <c r="C486" s="140" t="s">
        <v>3683</v>
      </c>
      <c r="D486" s="140" t="s">
        <v>3182</v>
      </c>
      <c r="E486" s="140" t="s">
        <v>3185</v>
      </c>
      <c r="F486" s="140" t="s">
        <v>3181</v>
      </c>
      <c r="G486" s="140" t="s">
        <v>3184</v>
      </c>
      <c r="H486" s="140" t="s">
        <v>3180</v>
      </c>
      <c r="I486" s="140" t="s">
        <v>3186</v>
      </c>
      <c r="J486" s="140" t="s">
        <v>3192</v>
      </c>
      <c r="K486" s="141" t="s">
        <v>3191</v>
      </c>
    </row>
    <row r="487" customFormat="false" ht="15" hidden="false" customHeight="false" outlineLevel="0" collapsed="false">
      <c r="B487" s="139" t="n">
        <v>482</v>
      </c>
      <c r="C487" s="140" t="s">
        <v>3684</v>
      </c>
      <c r="D487" s="140" t="s">
        <v>3182</v>
      </c>
      <c r="E487" s="140" t="s">
        <v>3190</v>
      </c>
      <c r="F487" s="140" t="s">
        <v>3181</v>
      </c>
      <c r="G487" s="140" t="s">
        <v>3184</v>
      </c>
      <c r="H487" s="140" t="s">
        <v>3180</v>
      </c>
      <c r="I487" s="140" t="s">
        <v>3186</v>
      </c>
      <c r="J487" s="140" t="s">
        <v>3192</v>
      </c>
      <c r="K487" s="141" t="s">
        <v>3185</v>
      </c>
    </row>
    <row r="488" customFormat="false" ht="15" hidden="false" customHeight="false" outlineLevel="0" collapsed="false">
      <c r="B488" s="139" t="n">
        <v>483</v>
      </c>
      <c r="C488" s="140" t="s">
        <v>3685</v>
      </c>
      <c r="D488" s="140" t="s">
        <v>3182</v>
      </c>
      <c r="E488" s="140" t="s">
        <v>3190</v>
      </c>
      <c r="F488" s="140" t="s">
        <v>3181</v>
      </c>
      <c r="G488" s="140" t="s">
        <v>3184</v>
      </c>
      <c r="H488" s="140" t="s">
        <v>3180</v>
      </c>
      <c r="I488" s="140" t="s">
        <v>3186</v>
      </c>
      <c r="J488" s="140" t="s">
        <v>3185</v>
      </c>
      <c r="K488" s="141" t="s">
        <v>3191</v>
      </c>
    </row>
    <row r="489" customFormat="false" ht="15" hidden="false" customHeight="false" outlineLevel="0" collapsed="false">
      <c r="B489" s="139" t="n">
        <v>484</v>
      </c>
      <c r="C489" s="140" t="s">
        <v>3686</v>
      </c>
      <c r="D489" s="140" t="s">
        <v>3182</v>
      </c>
      <c r="E489" s="140" t="s">
        <v>3185</v>
      </c>
      <c r="F489" s="140" t="s">
        <v>3181</v>
      </c>
      <c r="G489" s="140" t="s">
        <v>3184</v>
      </c>
      <c r="H489" s="140" t="s">
        <v>3180</v>
      </c>
      <c r="I489" s="140" t="s">
        <v>3186</v>
      </c>
      <c r="J489" s="140" t="s">
        <v>3192</v>
      </c>
      <c r="K489" s="141" t="s">
        <v>3189</v>
      </c>
    </row>
    <row r="490" customFormat="false" ht="15" hidden="false" customHeight="false" outlineLevel="0" collapsed="false">
      <c r="B490" s="139" t="n">
        <v>485</v>
      </c>
      <c r="C490" s="140" t="s">
        <v>3687</v>
      </c>
      <c r="D490" s="140" t="s">
        <v>3182</v>
      </c>
      <c r="E490" s="140" t="s">
        <v>3185</v>
      </c>
      <c r="F490" s="140" t="s">
        <v>3181</v>
      </c>
      <c r="G490" s="140" t="s">
        <v>3184</v>
      </c>
      <c r="H490" s="140" t="s">
        <v>3180</v>
      </c>
      <c r="I490" s="140" t="s">
        <v>3186</v>
      </c>
      <c r="J490" s="140" t="s">
        <v>3189</v>
      </c>
      <c r="K490" s="141" t="s">
        <v>3191</v>
      </c>
    </row>
    <row r="491" customFormat="false" ht="15" hidden="false" customHeight="false" outlineLevel="0" collapsed="false">
      <c r="B491" s="139" t="n">
        <v>486</v>
      </c>
      <c r="C491" s="140" t="s">
        <v>3688</v>
      </c>
      <c r="D491" s="140" t="s">
        <v>3182</v>
      </c>
      <c r="E491" s="140" t="s">
        <v>3190</v>
      </c>
      <c r="F491" s="140" t="s">
        <v>3181</v>
      </c>
      <c r="G491" s="140" t="s">
        <v>3184</v>
      </c>
      <c r="H491" s="140" t="s">
        <v>3180</v>
      </c>
      <c r="I491" s="140" t="s">
        <v>3186</v>
      </c>
      <c r="J491" s="140" t="s">
        <v>3185</v>
      </c>
      <c r="K491" s="141" t="s">
        <v>3189</v>
      </c>
    </row>
    <row r="492" customFormat="false" ht="15" hidden="false" customHeight="false" outlineLevel="0" collapsed="false">
      <c r="B492" s="139" t="n">
        <v>487</v>
      </c>
      <c r="C492" s="140" t="s">
        <v>3689</v>
      </c>
      <c r="D492" s="140" t="s">
        <v>3188</v>
      </c>
      <c r="E492" s="140" t="s">
        <v>3186</v>
      </c>
      <c r="F492" s="140" t="s">
        <v>3181</v>
      </c>
      <c r="G492" s="140" t="s">
        <v>3182</v>
      </c>
      <c r="H492" s="140" t="s">
        <v>3180</v>
      </c>
      <c r="I492" s="140" t="s">
        <v>3184</v>
      </c>
      <c r="J492" s="140" t="s">
        <v>3192</v>
      </c>
      <c r="K492" s="141" t="s">
        <v>3185</v>
      </c>
    </row>
    <row r="493" customFormat="false" ht="15" hidden="false" customHeight="false" outlineLevel="0" collapsed="false">
      <c r="B493" s="139" t="n">
        <v>488</v>
      </c>
      <c r="C493" s="140" t="s">
        <v>3690</v>
      </c>
      <c r="D493" s="140" t="s">
        <v>3188</v>
      </c>
      <c r="E493" s="140" t="s">
        <v>3185</v>
      </c>
      <c r="F493" s="140" t="s">
        <v>3181</v>
      </c>
      <c r="G493" s="140" t="s">
        <v>3182</v>
      </c>
      <c r="H493" s="140" t="s">
        <v>3180</v>
      </c>
      <c r="I493" s="140" t="s">
        <v>3186</v>
      </c>
      <c r="J493" s="140" t="s">
        <v>3184</v>
      </c>
      <c r="K493" s="141" t="s">
        <v>3191</v>
      </c>
    </row>
    <row r="494" customFormat="false" ht="15" hidden="false" customHeight="false" outlineLevel="0" collapsed="false">
      <c r="B494" s="139" t="n">
        <v>489</v>
      </c>
      <c r="C494" s="140" t="s">
        <v>3691</v>
      </c>
      <c r="D494" s="140" t="s">
        <v>3188</v>
      </c>
      <c r="E494" s="140" t="s">
        <v>3190</v>
      </c>
      <c r="F494" s="140" t="s">
        <v>3181</v>
      </c>
      <c r="G494" s="140" t="s">
        <v>3182</v>
      </c>
      <c r="H494" s="140" t="s">
        <v>3180</v>
      </c>
      <c r="I494" s="140" t="s">
        <v>3186</v>
      </c>
      <c r="J494" s="140" t="s">
        <v>3184</v>
      </c>
      <c r="K494" s="141" t="s">
        <v>3185</v>
      </c>
    </row>
    <row r="495" customFormat="false" ht="15" hidden="false" customHeight="false" outlineLevel="0" collapsed="false">
      <c r="B495" s="139" t="n">
        <v>490</v>
      </c>
      <c r="C495" s="140" t="s">
        <v>3692</v>
      </c>
      <c r="D495" s="140" t="s">
        <v>3188</v>
      </c>
      <c r="E495" s="140" t="s">
        <v>3185</v>
      </c>
      <c r="F495" s="140" t="s">
        <v>3181</v>
      </c>
      <c r="G495" s="140" t="s">
        <v>3182</v>
      </c>
      <c r="H495" s="140" t="s">
        <v>3180</v>
      </c>
      <c r="I495" s="140" t="s">
        <v>3186</v>
      </c>
      <c r="J495" s="140" t="s">
        <v>3184</v>
      </c>
      <c r="K495" s="141" t="s">
        <v>3189</v>
      </c>
    </row>
    <row r="496" customFormat="false" ht="15" hidden="false" customHeight="false" outlineLevel="0" collapsed="false">
      <c r="B496" s="139" t="n">
        <v>491</v>
      </c>
      <c r="C496" s="140" t="s">
        <v>3693</v>
      </c>
      <c r="D496" s="140" t="s">
        <v>3182</v>
      </c>
      <c r="E496" s="140" t="s">
        <v>3187</v>
      </c>
      <c r="F496" s="140" t="s">
        <v>3181</v>
      </c>
      <c r="G496" s="140" t="s">
        <v>3184</v>
      </c>
      <c r="H496" s="140" t="s">
        <v>3180</v>
      </c>
      <c r="I496" s="140" t="s">
        <v>3186</v>
      </c>
      <c r="J496" s="140" t="s">
        <v>3192</v>
      </c>
      <c r="K496" s="141" t="s">
        <v>3185</v>
      </c>
    </row>
    <row r="497" customFormat="false" ht="15" hidden="false" customHeight="false" outlineLevel="0" collapsed="false">
      <c r="B497" s="139" t="n">
        <v>492</v>
      </c>
      <c r="C497" s="140" t="s">
        <v>3694</v>
      </c>
      <c r="D497" s="140" t="s">
        <v>3182</v>
      </c>
      <c r="E497" s="140" t="s">
        <v>3187</v>
      </c>
      <c r="F497" s="140" t="s">
        <v>3181</v>
      </c>
      <c r="G497" s="140" t="s">
        <v>3184</v>
      </c>
      <c r="H497" s="140" t="s">
        <v>3180</v>
      </c>
      <c r="I497" s="140" t="s">
        <v>3186</v>
      </c>
      <c r="J497" s="140" t="s">
        <v>3185</v>
      </c>
      <c r="K497" s="141" t="s">
        <v>3191</v>
      </c>
    </row>
    <row r="498" customFormat="false" ht="15" hidden="false" customHeight="false" outlineLevel="0" collapsed="false">
      <c r="B498" s="139" t="n">
        <v>493</v>
      </c>
      <c r="C498" s="140" t="s">
        <v>3695</v>
      </c>
      <c r="D498" s="140" t="s">
        <v>3182</v>
      </c>
      <c r="E498" s="140" t="s">
        <v>3187</v>
      </c>
      <c r="F498" s="140" t="s">
        <v>3181</v>
      </c>
      <c r="G498" s="140" t="s">
        <v>3184</v>
      </c>
      <c r="H498" s="140" t="s">
        <v>3180</v>
      </c>
      <c r="I498" s="140" t="s">
        <v>3186</v>
      </c>
      <c r="J498" s="140" t="s">
        <v>3185</v>
      </c>
      <c r="K498" s="141" t="s">
        <v>3190</v>
      </c>
    </row>
    <row r="499" customFormat="false" ht="15" hidden="false" customHeight="false" outlineLevel="0" collapsed="false">
      <c r="B499" s="139" t="n">
        <v>494</v>
      </c>
      <c r="C499" s="140" t="s">
        <v>3696</v>
      </c>
      <c r="D499" s="140" t="s">
        <v>3182</v>
      </c>
      <c r="E499" s="140" t="s">
        <v>3187</v>
      </c>
      <c r="F499" s="140" t="s">
        <v>3181</v>
      </c>
      <c r="G499" s="140" t="s">
        <v>3184</v>
      </c>
      <c r="H499" s="140" t="s">
        <v>3180</v>
      </c>
      <c r="I499" s="140" t="s">
        <v>3186</v>
      </c>
      <c r="J499" s="140" t="s">
        <v>3185</v>
      </c>
      <c r="K499" s="141" t="s">
        <v>3189</v>
      </c>
    </row>
    <row r="500" customFormat="false" ht="15" hidden="false" customHeight="false" outlineLevel="0" collapsed="false">
      <c r="B500" s="142" t="n">
        <v>495</v>
      </c>
      <c r="C500" s="143" t="s">
        <v>3697</v>
      </c>
      <c r="D500" s="143" t="s">
        <v>3188</v>
      </c>
      <c r="E500" s="143" t="s">
        <v>3187</v>
      </c>
      <c r="F500" s="143" t="s">
        <v>3181</v>
      </c>
      <c r="G500" s="143" t="s">
        <v>3182</v>
      </c>
      <c r="H500" s="143" t="s">
        <v>3180</v>
      </c>
      <c r="I500" s="143" t="s">
        <v>3186</v>
      </c>
      <c r="J500" s="143" t="s">
        <v>3184</v>
      </c>
      <c r="K500" s="144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</TotalTime>
  <Application>LibreOffice/26.2.4.2$Linux_X86_64 LibreOffice_project/c44d3140fc62714965bf5d98735e0d79ba4b1ebd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2026-06-14T03:32:28Z</dcterms:modified>
  <cp:revision>8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