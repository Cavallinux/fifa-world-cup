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<sst xmlns="http://schemas.openxmlformats.org/spreadsheetml/2006/main" count="9786" uniqueCount="3698">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</sst>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0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0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1470240</xdr:colOff>
      <xdr:row>13</xdr:row>
      <xdr:rowOff>168120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1464480</xdr:colOff>
      <xdr:row>50</xdr:row>
      <xdr:rowOff>163080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1474560</xdr:colOff>
      <xdr:row>9</xdr:row>
      <xdr:rowOff>167400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1474200</xdr:colOff>
      <xdr:row>24</xdr:row>
      <xdr:rowOff>167400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1474560</xdr:colOff>
      <xdr:row>18</xdr:row>
      <xdr:rowOff>167400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1474920</xdr:colOff>
      <xdr:row>22</xdr:row>
      <xdr:rowOff>169920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224280</xdr:colOff>
      <xdr:row>36</xdr:row>
      <xdr:rowOff>160200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226800</xdr:colOff>
      <xdr:row>35</xdr:row>
      <xdr:rowOff>169920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224280</xdr:colOff>
      <xdr:row>27</xdr:row>
      <xdr:rowOff>169920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1474200</xdr:colOff>
      <xdr:row>15</xdr:row>
      <xdr:rowOff>160560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224280</xdr:colOff>
      <xdr:row>16</xdr:row>
      <xdr:rowOff>150840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1474200</xdr:colOff>
      <xdr:row>19</xdr:row>
      <xdr:rowOff>160560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1474200</xdr:colOff>
      <xdr:row>21</xdr:row>
      <xdr:rowOff>160560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183240</xdr:colOff>
      <xdr:row>13</xdr:row>
      <xdr:rowOff>160920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616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1474200</xdr:colOff>
      <xdr:row>42</xdr:row>
      <xdr:rowOff>160920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226440</xdr:colOff>
      <xdr:row>76</xdr:row>
      <xdr:rowOff>160920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1474200</xdr:colOff>
      <xdr:row>12</xdr:row>
      <xdr:rowOff>161280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211320</xdr:colOff>
      <xdr:row>32</xdr:row>
      <xdr:rowOff>165960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1459080</xdr:colOff>
      <xdr:row>27</xdr:row>
      <xdr:rowOff>160560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232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1469160</xdr:colOff>
      <xdr:row>36</xdr:row>
      <xdr:rowOff>169560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1471320</xdr:colOff>
      <xdr:row>48</xdr:row>
      <xdr:rowOff>169920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221400</xdr:colOff>
      <xdr:row>43</xdr:row>
      <xdr:rowOff>164160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1465920</xdr:colOff>
      <xdr:row>47</xdr:row>
      <xdr:rowOff>165240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1476360</xdr:colOff>
      <xdr:row>11</xdr:row>
      <xdr:rowOff>165240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221400</xdr:colOff>
      <xdr:row>12</xdr:row>
      <xdr:rowOff>155520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1465920</xdr:colOff>
      <xdr:row>73</xdr:row>
      <xdr:rowOff>167760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1471320</xdr:colOff>
      <xdr:row>38</xdr:row>
      <xdr:rowOff>162720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218160</xdr:colOff>
      <xdr:row>41</xdr:row>
      <xdr:rowOff>155880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1465200</xdr:colOff>
      <xdr:row>43</xdr:row>
      <xdr:rowOff>167760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1456200</xdr:colOff>
      <xdr:row>44</xdr:row>
      <xdr:rowOff>167760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1448640</xdr:colOff>
      <xdr:row>31</xdr:row>
      <xdr:rowOff>168120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616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1466640</xdr:colOff>
      <xdr:row>71</xdr:row>
      <xdr:rowOff>168480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1456200</xdr:colOff>
      <xdr:row>28</xdr:row>
      <xdr:rowOff>168480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1476360</xdr:colOff>
      <xdr:row>34</xdr:row>
      <xdr:rowOff>166320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217800</xdr:colOff>
      <xdr:row>57</xdr:row>
      <xdr:rowOff>164880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227160</xdr:colOff>
      <xdr:row>72</xdr:row>
      <xdr:rowOff>154440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224280</xdr:colOff>
      <xdr:row>64</xdr:row>
      <xdr:rowOff>156600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225360</xdr:colOff>
      <xdr:row>75</xdr:row>
      <xdr:rowOff>162360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226440</xdr:colOff>
      <xdr:row>70</xdr:row>
      <xdr:rowOff>166680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225360</xdr:colOff>
      <xdr:row>66</xdr:row>
      <xdr:rowOff>158760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226800</xdr:colOff>
      <xdr:row>65</xdr:row>
      <xdr:rowOff>168480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1470600</xdr:colOff>
      <xdr:row>55</xdr:row>
      <xdr:rowOff>165960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226800</xdr:colOff>
      <xdr:row>51</xdr:row>
      <xdr:rowOff>166680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222840</xdr:colOff>
      <xdr:row>61</xdr:row>
      <xdr:rowOff>164160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1483560</xdr:colOff>
      <xdr:row>62</xdr:row>
      <xdr:rowOff>156240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222840</xdr:colOff>
      <xdr:row>71</xdr:row>
      <xdr:rowOff>165600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222840</xdr:colOff>
      <xdr:row>69</xdr:row>
      <xdr:rowOff>166680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1458360</xdr:colOff>
      <xdr:row>52</xdr:row>
      <xdr:rowOff>167400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212760</xdr:colOff>
      <xdr:row>15</xdr:row>
      <xdr:rowOff>155880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203400</xdr:colOff>
      <xdr:row>39</xdr:row>
      <xdr:rowOff>155880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1460520</xdr:colOff>
      <xdr:row>60</xdr:row>
      <xdr:rowOff>155880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212760</xdr:colOff>
      <xdr:row>6</xdr:row>
      <xdr:rowOff>155880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203400</xdr:colOff>
      <xdr:row>30</xdr:row>
      <xdr:rowOff>155880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1460520</xdr:colOff>
      <xdr:row>59</xdr:row>
      <xdr:rowOff>155880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1460880</xdr:colOff>
      <xdr:row>7</xdr:row>
      <xdr:rowOff>155520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496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1460520</xdr:colOff>
      <xdr:row>6</xdr:row>
      <xdr:rowOff>146160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194040</xdr:colOff>
      <xdr:row>33</xdr:row>
      <xdr:rowOff>146160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496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203400</xdr:colOff>
      <xdr:row>59</xdr:row>
      <xdr:rowOff>146160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496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1460520</xdr:colOff>
      <xdr:row>33</xdr:row>
      <xdr:rowOff>146160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212760</xdr:colOff>
      <xdr:row>58</xdr:row>
      <xdr:rowOff>146160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222480</xdr:colOff>
      <xdr:row>7</xdr:row>
      <xdr:rowOff>155520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1470240</xdr:colOff>
      <xdr:row>30</xdr:row>
      <xdr:rowOff>165240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1460520</xdr:colOff>
      <xdr:row>58</xdr:row>
      <xdr:rowOff>146160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1470240</xdr:colOff>
      <xdr:row>8</xdr:row>
      <xdr:rowOff>155880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1470240</xdr:colOff>
      <xdr:row>32</xdr:row>
      <xdr:rowOff>155880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212760</xdr:colOff>
      <xdr:row>56</xdr:row>
      <xdr:rowOff>155880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222480</xdr:colOff>
      <xdr:row>8</xdr:row>
      <xdr:rowOff>155880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213120</xdr:colOff>
      <xdr:row>31</xdr:row>
      <xdr:rowOff>155880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1470240</xdr:colOff>
      <xdr:row>57</xdr:row>
      <xdr:rowOff>155880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212760</xdr:colOff>
      <xdr:row>9</xdr:row>
      <xdr:rowOff>155880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203400</xdr:colOff>
      <xdr:row>37</xdr:row>
      <xdr:rowOff>155880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1470240</xdr:colOff>
      <xdr:row>65</xdr:row>
      <xdr:rowOff>155880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1470240</xdr:colOff>
      <xdr:row>10</xdr:row>
      <xdr:rowOff>155520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213120</xdr:colOff>
      <xdr:row>34</xdr:row>
      <xdr:rowOff>165240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222480</xdr:colOff>
      <xdr:row>55</xdr:row>
      <xdr:rowOff>165240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222480</xdr:colOff>
      <xdr:row>10</xdr:row>
      <xdr:rowOff>155880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1470240</xdr:colOff>
      <xdr:row>35</xdr:row>
      <xdr:rowOff>155880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1470240</xdr:colOff>
      <xdr:row>54</xdr:row>
      <xdr:rowOff>155880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212760</xdr:colOff>
      <xdr:row>11</xdr:row>
      <xdr:rowOff>155880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1460520</xdr:colOff>
      <xdr:row>37</xdr:row>
      <xdr:rowOff>155880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1470240</xdr:colOff>
      <xdr:row>64</xdr:row>
      <xdr:rowOff>155880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222480</xdr:colOff>
      <xdr:row>54</xdr:row>
      <xdr:rowOff>165240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1451160</xdr:colOff>
      <xdr:row>56</xdr:row>
      <xdr:rowOff>165240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616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1470240</xdr:colOff>
      <xdr:row>14</xdr:row>
      <xdr:rowOff>155520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222480</xdr:colOff>
      <xdr:row>38</xdr:row>
      <xdr:rowOff>165240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222480</xdr:colOff>
      <xdr:row>60</xdr:row>
      <xdr:rowOff>165240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213120</xdr:colOff>
      <xdr:row>14</xdr:row>
      <xdr:rowOff>155520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1470240</xdr:colOff>
      <xdr:row>39</xdr:row>
      <xdr:rowOff>165240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1470240</xdr:colOff>
      <xdr:row>61</xdr:row>
      <xdr:rowOff>165240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1470240</xdr:colOff>
      <xdr:row>16</xdr:row>
      <xdr:rowOff>165240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1470240</xdr:colOff>
      <xdr:row>40</xdr:row>
      <xdr:rowOff>165240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222480</xdr:colOff>
      <xdr:row>63</xdr:row>
      <xdr:rowOff>165240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1470240</xdr:colOff>
      <xdr:row>17</xdr:row>
      <xdr:rowOff>165240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222480</xdr:colOff>
      <xdr:row>40</xdr:row>
      <xdr:rowOff>155520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222480</xdr:colOff>
      <xdr:row>62</xdr:row>
      <xdr:rowOff>155520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222480</xdr:colOff>
      <xdr:row>17</xdr:row>
      <xdr:rowOff>165240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1470240</xdr:colOff>
      <xdr:row>41</xdr:row>
      <xdr:rowOff>165240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1470240</xdr:colOff>
      <xdr:row>63</xdr:row>
      <xdr:rowOff>165240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213120</xdr:colOff>
      <xdr:row>18</xdr:row>
      <xdr:rowOff>155880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213120</xdr:colOff>
      <xdr:row>19</xdr:row>
      <xdr:rowOff>155880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213120</xdr:colOff>
      <xdr:row>42</xdr:row>
      <xdr:rowOff>155880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1470240</xdr:colOff>
      <xdr:row>70</xdr:row>
      <xdr:rowOff>155880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1470240</xdr:colOff>
      <xdr:row>20</xdr:row>
      <xdr:rowOff>155880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213120</xdr:colOff>
      <xdr:row>44</xdr:row>
      <xdr:rowOff>155880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213120</xdr:colOff>
      <xdr:row>68</xdr:row>
      <xdr:rowOff>155880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1470240</xdr:colOff>
      <xdr:row>23</xdr:row>
      <xdr:rowOff>155880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213120</xdr:colOff>
      <xdr:row>47</xdr:row>
      <xdr:rowOff>155880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213120</xdr:colOff>
      <xdr:row>67</xdr:row>
      <xdr:rowOff>155880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1460880</xdr:colOff>
      <xdr:row>45</xdr:row>
      <xdr:rowOff>155880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1470240</xdr:colOff>
      <xdr:row>69</xdr:row>
      <xdr:rowOff>155880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213120</xdr:colOff>
      <xdr:row>20</xdr:row>
      <xdr:rowOff>155880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213120</xdr:colOff>
      <xdr:row>21</xdr:row>
      <xdr:rowOff>165240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213120</xdr:colOff>
      <xdr:row>45</xdr:row>
      <xdr:rowOff>165240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1470240</xdr:colOff>
      <xdr:row>68</xdr:row>
      <xdr:rowOff>165240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213120</xdr:colOff>
      <xdr:row>22</xdr:row>
      <xdr:rowOff>155880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213120</xdr:colOff>
      <xdr:row>46</xdr:row>
      <xdr:rowOff>155880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1470240</xdr:colOff>
      <xdr:row>67</xdr:row>
      <xdr:rowOff>155880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1470240</xdr:colOff>
      <xdr:row>66</xdr:row>
      <xdr:rowOff>165240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1470240</xdr:colOff>
      <xdr:row>46</xdr:row>
      <xdr:rowOff>155520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213120</xdr:colOff>
      <xdr:row>23</xdr:row>
      <xdr:rowOff>165240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203400</xdr:colOff>
      <xdr:row>24</xdr:row>
      <xdr:rowOff>146160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203400</xdr:colOff>
      <xdr:row>49</xdr:row>
      <xdr:rowOff>146160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1460520</xdr:colOff>
      <xdr:row>74</xdr:row>
      <xdr:rowOff>155520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1460520</xdr:colOff>
      <xdr:row>25</xdr:row>
      <xdr:rowOff>155880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203400</xdr:colOff>
      <xdr:row>48</xdr:row>
      <xdr:rowOff>155880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203400</xdr:colOff>
      <xdr:row>74</xdr:row>
      <xdr:rowOff>155880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213120</xdr:colOff>
      <xdr:row>25</xdr:row>
      <xdr:rowOff>155520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1460880</xdr:colOff>
      <xdr:row>75</xdr:row>
      <xdr:rowOff>165240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1460880</xdr:colOff>
      <xdr:row>49</xdr:row>
      <xdr:rowOff>165240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203400</xdr:colOff>
      <xdr:row>26</xdr:row>
      <xdr:rowOff>146160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1460520</xdr:colOff>
      <xdr:row>51</xdr:row>
      <xdr:rowOff>155880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1460520</xdr:colOff>
      <xdr:row>72</xdr:row>
      <xdr:rowOff>155880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1470240</xdr:colOff>
      <xdr:row>26</xdr:row>
      <xdr:rowOff>165240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222480</xdr:colOff>
      <xdr:row>50</xdr:row>
      <xdr:rowOff>165240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222480</xdr:colOff>
      <xdr:row>73</xdr:row>
      <xdr:rowOff>165240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203400</xdr:colOff>
      <xdr:row>28</xdr:row>
      <xdr:rowOff>155880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203400</xdr:colOff>
      <xdr:row>53</xdr:row>
      <xdr:rowOff>155880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1460520</xdr:colOff>
      <xdr:row>77</xdr:row>
      <xdr:rowOff>155880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222480</xdr:colOff>
      <xdr:row>29</xdr:row>
      <xdr:rowOff>165240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1460880</xdr:colOff>
      <xdr:row>76</xdr:row>
      <xdr:rowOff>165240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1460880</xdr:colOff>
      <xdr:row>53</xdr:row>
      <xdr:rowOff>165240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1470240</xdr:colOff>
      <xdr:row>29</xdr:row>
      <xdr:rowOff>165240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213120</xdr:colOff>
      <xdr:row>52</xdr:row>
      <xdr:rowOff>165240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213120</xdr:colOff>
      <xdr:row>77</xdr:row>
      <xdr:rowOff>165240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B45" colorId="64" zoomScale="124" zoomScaleNormal="124" zoomScalePageLayoutView="100" workbookViewId="0">
      <selection pane="topLeft" activeCell="H51" activeCellId="0" sqref="H5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2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3</v>
      </c>
      <c r="AJ8" s="42" t="n">
        <f aca="false">SUMIF($E$7:$E$78,$AE8,$G$7:$G$78) + SUMIF($H$7:$H$78,$AE8,$F$7:$F$78)</f>
        <v>0</v>
      </c>
      <c r="AL8" s="42" t="n">
        <f aca="false">AI8-AJ8</f>
        <v>3</v>
      </c>
      <c r="AM8" s="42" t="n">
        <f aca="false">AL8-AL12</f>
        <v>5</v>
      </c>
      <c r="AN8" s="42" t="n">
        <f aca="false">AF8*3+AG8</f>
        <v>6</v>
      </c>
      <c r="AO8" s="42" t="n">
        <f aca="false">AN8/AN12*10+BA8</f>
        <v>8.57142857142857</v>
      </c>
      <c r="AP8" s="42" t="n">
        <f aca="false">AO8*10000000+BI8*100+AM8/AM12*10+AI8/AI12*1++IF(AQ8=0,ROW(),AQ8)/2000000</f>
        <v>85714294.7984596</v>
      </c>
      <c r="AQ8" s="46" t="n">
        <f aca="false">VLOOKUP(AE8,db_fifarank,2,FALSE())</f>
        <v>1681.03</v>
      </c>
      <c r="AR8" s="45" t="n">
        <f aca="false">AP8/AP12</f>
        <v>0.999999988333335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2</v>
      </c>
      <c r="L9" s="76" t="n">
        <f aca="false">VLOOKUP(1,AD8:AN11,3,FALSE())</f>
        <v>2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3 - 0</v>
      </c>
      <c r="P9" s="77" t="n">
        <f aca="false">L9*3+M9</f>
        <v>6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0</v>
      </c>
      <c r="V9" s="42" t="n">
        <f aca="false">U9*F9</f>
        <v>0</v>
      </c>
      <c r="W9" s="42" t="n">
        <f aca="false">U9*G9</f>
        <v>0</v>
      </c>
      <c r="X9" s="42" t="n">
        <f aca="false">IF(S9="",0,IF(VLOOKUP(E9,$AE$8:$AO$77,11,FALSE())=VLOOKUP(H9,$AE$8:$AO$77,11,FALSE()),1,0))</f>
        <v>0</v>
      </c>
      <c r="Y9" s="42" t="n">
        <f aca="false">X9*F9</f>
        <v>0</v>
      </c>
      <c r="Z9" s="42" t="n">
        <f aca="false">X9*G9</f>
        <v>0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1</v>
      </c>
      <c r="AJ9" s="42" t="n">
        <f aca="false">SUMIF($E$7:$E$78,$AE9,$G$7:$G$78) + SUMIF($H$7:$H$78,$AE9,$F$7:$F$78)</f>
        <v>3</v>
      </c>
      <c r="AL9" s="42" t="n">
        <f aca="false">AI9-AJ9</f>
        <v>-2</v>
      </c>
      <c r="AM9" s="42" t="n">
        <f aca="false">AL9-AL12</f>
        <v>0</v>
      </c>
      <c r="AN9" s="42" t="n">
        <f aca="false">AF9*3+AG9</f>
        <v>1</v>
      </c>
      <c r="AO9" s="42" t="n">
        <f aca="false">AN9/AN12*10+BA9</f>
        <v>2.40915395284327</v>
      </c>
      <c r="AP9" s="42" t="n">
        <f aca="false">AO9*10000000+BI9*100+AM9/AM12*10+AI9/AI12*1++IF(AQ9=0,ROW(),AQ9)/2000000</f>
        <v>24091637.8374</v>
      </c>
      <c r="AQ9" s="46" t="n">
        <f aca="false">VLOOKUP(AE9,db_fifarank,2,FALSE())</f>
        <v>1429.73</v>
      </c>
      <c r="AR9" s="45" t="n">
        <f aca="false">AP9/AP12</f>
        <v>0.28106907503559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1</v>
      </c>
      <c r="AV9" s="46" t="n">
        <f aca="false" t="array" ref="AV9:AV9">SUMPRODUCT(($E$7:$E$78=AE9)*($U$7:$U$78)*($F$7:$F$78))+SUMPRODUCT(($H$7:$H$78=AE9)*($U$7:$U$78)*($G$7:$G$78))</f>
        <v>1</v>
      </c>
      <c r="AW9" s="46" t="n">
        <f aca="false" t="array" ref="AW9:AW9">SUMPRODUCT(($E$7:$E$78=AE9)*($U$7:$U$78)*($G$7:$G$78))+SUMPRODUCT(($H$7:$H$78=AE9)*($U$7:$U$78)*($F$7:$F$78))</f>
        <v>1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50.5</v>
      </c>
      <c r="BA9" s="46" t="n">
        <f aca="false">AZ9/AZ12</f>
        <v>0.980582524271845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1</v>
      </c>
      <c r="BD9" s="46" t="n">
        <f aca="false" t="array" ref="BD9:BD9">SUMPRODUCT(($E$7:$E$78=AE9)*($X$7:$X$78)*($F$7:$F$78))+SUMPRODUCT(($H$7:$H$78=AE9)*($X$7:$X$78)*($G$7:$G$78))</f>
        <v>1</v>
      </c>
      <c r="BE9" s="46" t="n">
        <f aca="false" t="array" ref="BE9:BE9">SUMPRODUCT(($E$7:$E$78=AE9)*($X$7:$X$78)*($G$7:$G$78))+SUMPRODUCT(($H$7:$H$78=AE9)*($X$7:$X$78)*($F$7:$F$78))</f>
        <v>1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50.5</v>
      </c>
      <c r="BI9" s="46" t="n">
        <f aca="false">BH9/BH12</f>
        <v>0.980582524271845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Korea Republic</v>
      </c>
      <c r="K10" s="80" t="n">
        <f aca="false">L10+M10+N10</f>
        <v>2</v>
      </c>
      <c r="L10" s="80" t="n">
        <f aca="false">VLOOKUP(2,AD8:AN11,3,FALSE())</f>
        <v>1</v>
      </c>
      <c r="M10" s="80" t="n">
        <f aca="false">VLOOKUP(2,AD8:AN11,4,FALSE())</f>
        <v>0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2 - 2</v>
      </c>
      <c r="P10" s="81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2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1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2</v>
      </c>
      <c r="AL10" s="42" t="n">
        <f aca="false">AI10-AJ10</f>
        <v>0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4.28571428571429</v>
      </c>
      <c r="AP10" s="42" t="n">
        <f aca="false">AO10*10000000+BI10*100+AM10/AM12*10+AI10/AI12*1++IF(AQ10=0,ROW(),AQ10)/2000000</f>
        <v>42857146.6912705</v>
      </c>
      <c r="AQ10" s="46" t="n">
        <f aca="false">VLOOKUP(AE10,db_fifarank,2,FALSE())</f>
        <v>1588.66</v>
      </c>
      <c r="AR10" s="45" t="n">
        <f aca="false">AP10/AP12</f>
        <v>0.499999985907144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1E</v>
      </c>
      <c r="BM10" s="84"/>
      <c r="BN10" s="85"/>
      <c r="BO10" s="86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Czech Republic</v>
      </c>
      <c r="K11" s="80" t="n">
        <f aca="false">L11+M11+N11</f>
        <v>2</v>
      </c>
      <c r="L11" s="80" t="n">
        <f aca="false">VLOOKUP(3,AD8:AN11,3,FALSE())</f>
        <v>0</v>
      </c>
      <c r="M11" s="80" t="n">
        <f aca="false">VLOOKUP(3,AD8:AN11,4,FALSE())</f>
        <v>1</v>
      </c>
      <c r="N11" s="80" t="n">
        <f aca="false">VLOOKUP(3,AD8:AN11,5,FALSE())</f>
        <v>1</v>
      </c>
      <c r="O11" s="80" t="str">
        <f aca="false">VLOOKUP(3,AD8:AN11,6,FALSE()) &amp; " - " &amp; VLOOKUP(3,AD8:AN11,7,FALSE())</f>
        <v>2 - 3</v>
      </c>
      <c r="P11" s="81" t="n">
        <f aca="false">L11*3+M11</f>
        <v>1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3</v>
      </c>
      <c r="AL11" s="42" t="n">
        <f aca="false">AI11-AJ11</f>
        <v>-1</v>
      </c>
      <c r="AM11" s="42" t="n">
        <f aca="false">AL11-AL12</f>
        <v>1</v>
      </c>
      <c r="AN11" s="42" t="n">
        <f aca="false">AF11*3+AG11</f>
        <v>1</v>
      </c>
      <c r="AO11" s="42" t="n">
        <f aca="false">AN11/AN12*10+BA11</f>
        <v>2.40915395284327</v>
      </c>
      <c r="AP11" s="42" t="n">
        <f aca="false">AO11*10000000+BI11*100+AM11/AM12*10+AI11/AI12*1++IF(AQ11=0,ROW(),AQ11)/2000000</f>
        <v>24091639.7541025</v>
      </c>
      <c r="AQ11" s="46" t="n">
        <f aca="false">VLOOKUP(AE11,db_fifarank,2,FALSE())</f>
        <v>1501.38</v>
      </c>
      <c r="AR11" s="45" t="n">
        <f aca="false">AP11/AP12</f>
        <v>0.281069097397117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1</v>
      </c>
      <c r="AV11" s="46" t="n">
        <f aca="false" t="array" ref="AV11:AV11">SUMPRODUCT(($E$7:$E$78=AE11)*($U$7:$U$78)*($F$7:$F$78))+SUMPRODUCT(($H$7:$H$78=AE11)*($U$7:$U$78)*($G$7:$G$78))</f>
        <v>1</v>
      </c>
      <c r="AW11" s="46" t="n">
        <f aca="false" t="array" ref="AW11:AW11">SUMPRODUCT(($E$7:$E$78=AE11)*($U$7:$U$78)*($G$7:$G$78))+SUMPRODUCT(($H$7:$H$78=AE11)*($U$7:$U$78)*($F$7:$F$78))</f>
        <v>1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50.5</v>
      </c>
      <c r="BA11" s="46" t="n">
        <f aca="false">AZ11/AZ12</f>
        <v>0.980582524271845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1</v>
      </c>
      <c r="BD11" s="46" t="n">
        <f aca="false" t="array" ref="BD11:BD11">SUMPRODUCT(($E$7:$E$78=AE11)*($X$7:$X$78)*($F$7:$F$78))+SUMPRODUCT(($H$7:$H$78=AE11)*($X$7:$X$78)*($G$7:$G$78))</f>
        <v>1</v>
      </c>
      <c r="BE11" s="46" t="n">
        <f aca="false" t="array" ref="BE11:BE11">SUMPRODUCT(($E$7:$E$78=AE11)*($X$7:$X$78)*($G$7:$G$78))+SUMPRODUCT(($H$7:$H$78=AE11)*($X$7:$X$78)*($F$7:$F$78))</f>
        <v>1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50.5</v>
      </c>
      <c r="BI11" s="46" t="n">
        <f aca="false">BH11/BH12</f>
        <v>0.980582524271845</v>
      </c>
      <c r="BK11" s="82"/>
      <c r="BL11" s="87" t="str">
        <f aca="false">IF(group_round_completed,VLOOKUP('3rd places'!G3,AK80:AS91,9,FALSE()),"3rd Group A/B/C/D/F")</f>
        <v>3rd Group A/B/C/D/F</v>
      </c>
      <c r="BM11" s="88"/>
      <c r="BN11" s="89"/>
      <c r="BO11" s="90"/>
      <c r="BP11" s="91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South Africa</v>
      </c>
      <c r="K12" s="94" t="n">
        <f aca="false">L12+M12+N12</f>
        <v>2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1</v>
      </c>
      <c r="O12" s="94" t="str">
        <f aca="false">VLOOKUP(4,AD8:AN11,6,FALSE()) &amp; " - " &amp; VLOOKUP(4,AD8:AN11,7,FALSE())</f>
        <v>1 - 3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3</v>
      </c>
      <c r="AG12" s="42" t="n">
        <f aca="false">MAX(AG8:AG11)-MIN(AG8:AG11)+1</f>
        <v>2</v>
      </c>
      <c r="AH12" s="42" t="n">
        <f aca="false">MAX(AH8:AH11)-MIN(AH8:AH11)+1</f>
        <v>2</v>
      </c>
      <c r="AI12" s="42" t="n">
        <f aca="false">MAX(AI8:AI11)+1</f>
        <v>4</v>
      </c>
      <c r="AL12" s="42" t="n">
        <f aca="false">MIN(AL8:AL11)</f>
        <v>-2</v>
      </c>
      <c r="AM12" s="42" t="n">
        <f aca="false">MAX(AM8:AM11)+1</f>
        <v>6</v>
      </c>
      <c r="AN12" s="42" t="n">
        <f aca="false">MAX(AN8:AN11)+1</f>
        <v>7</v>
      </c>
      <c r="AO12" s="42" t="n">
        <f aca="false">MAX(AO8:AO11)+1</f>
        <v>9.57142857142857</v>
      </c>
      <c r="AP12" s="42" t="n">
        <f aca="false">MAX(AP8:AP11)+1</f>
        <v>85714295.7984596</v>
      </c>
      <c r="AT12" s="46" t="n">
        <f aca="false">MAX(AT8:AT11)-MIN(AT8:AT11)+1</f>
        <v>1</v>
      </c>
      <c r="AU12" s="46" t="n">
        <f aca="false">MAX(AU8:AU11)-MIN(AU8:AU11)+1</f>
        <v>2</v>
      </c>
      <c r="AV12" s="46" t="n">
        <f aca="false">MAX(AV8:AV11)-MIN(AV8:AV11)+1</f>
        <v>2</v>
      </c>
      <c r="AW12" s="46" t="n">
        <f aca="false">MAX(AW8:AW11)-MIN(AW8:AW11)+1</f>
        <v>2</v>
      </c>
      <c r="AY12" s="46" t="n">
        <f aca="false">MAX(AY8:AY11)-MIN(AY8:AY11)+1</f>
        <v>1</v>
      </c>
      <c r="AZ12" s="46" t="n">
        <f aca="false">MAX(AZ8:AZ11)+1</f>
        <v>51.5</v>
      </c>
      <c r="BB12" s="46" t="n">
        <f aca="false">MAX(BB8:BB11)-MIN(BB8:BB11)+1</f>
        <v>1</v>
      </c>
      <c r="BC12" s="46" t="n">
        <f aca="false">MAX(BC8:BC11)-MIN(BC8:BC11)+1</f>
        <v>2</v>
      </c>
      <c r="BD12" s="46" t="n">
        <f aca="false">MAX(BD8:BD11)-MIN(BD8:BD11)+1</f>
        <v>2</v>
      </c>
      <c r="BE12" s="46" t="n">
        <f aca="false">MAX(BE8:BE11)-MIN(BE8:BE11)+1</f>
        <v>2</v>
      </c>
      <c r="BG12" s="46" t="n">
        <f aca="false">MAX(BG8:BG11)-MIN(BG8:BG11)+1</f>
        <v>1</v>
      </c>
      <c r="BH12" s="46" t="n">
        <f aca="false">MAX(BH8:BH11)+1</f>
        <v>51.5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/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/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98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1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7</v>
      </c>
      <c r="AJ14" s="42" t="n">
        <f aca="false">SUMIF($E$7:$E$78,$AE14,$G$7:$G$78) + SUMIF($H$7:$H$78,$AE14,$F$7:$F$78)</f>
        <v>1</v>
      </c>
      <c r="AL14" s="42" t="n">
        <f aca="false">AI14-AJ14</f>
        <v>6</v>
      </c>
      <c r="AM14" s="42" t="n">
        <f aca="false">AL14-AL18</f>
        <v>12</v>
      </c>
      <c r="AN14" s="42" t="n">
        <f aca="false">AF14*3+AG14</f>
        <v>4</v>
      </c>
      <c r="AO14" s="42" t="n">
        <f aca="false">AN14/AN18*10+BA14</f>
        <v>8</v>
      </c>
      <c r="AP14" s="42" t="n">
        <f aca="false">AO14*10000000+BI14*100+AM14/AM18*10+AI14/AI18*1++IF(AQ14=0,ROW(),AQ14)/2000000</f>
        <v>80000010.1065475</v>
      </c>
      <c r="AQ14" s="46" t="n">
        <f aca="false">VLOOKUP(AE14,db_fifarank,2,FALSE())</f>
        <v>1556.48</v>
      </c>
      <c r="AR14" s="45" t="n">
        <f aca="false">AP14/AP18</f>
        <v>0.999999987500002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0</v>
      </c>
      <c r="AV14" s="46" t="n">
        <f aca="false" t="array" ref="AV14:AV14">SUMPRODUCT(($E$7:$E$78=AE14)*($U$7:$U$78)*($F$7:$F$78))+SUMPRODUCT(($H$7:$H$78=AE14)*($U$7:$U$78)*($G$7:$G$78))</f>
        <v>0</v>
      </c>
      <c r="AW14" s="46" t="n">
        <f aca="false" t="array" ref="AW14:AW14">SUMPRODUCT(($E$7:$E$78=AE14)*($U$7:$U$78)*($G$7:$G$78))+SUMPRODUCT(($H$7:$H$78=AE14)*($U$7:$U$78)*($F$7:$F$78))</f>
        <v>0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0</v>
      </c>
      <c r="BA14" s="46" t="n">
        <f aca="false">AZ14/AZ18</f>
        <v>0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0</v>
      </c>
      <c r="BD14" s="46" t="n">
        <f aca="false" t="array" ref="BD14:BD14">SUMPRODUCT(($E$7:$E$78=AE14)*($X$7:$X$78)*($F$7:$F$78))+SUMPRODUCT(($H$7:$H$78=AE14)*($X$7:$X$78)*($G$7:$G$78))</f>
        <v>0</v>
      </c>
      <c r="BE14" s="46" t="n">
        <f aca="false" t="array" ref="BE14:BE14">SUMPRODUCT(($E$7:$E$78=AE14)*($X$7:$X$78)*($G$7:$G$78))+SUMPRODUCT(($H$7:$H$78=AE14)*($X$7:$X$78)*($F$7:$F$78))</f>
        <v>0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0</v>
      </c>
      <c r="BI14" s="46" t="n">
        <f aca="false">BH14/BH18</f>
        <v>0</v>
      </c>
      <c r="BK14" s="82" t="n">
        <v>77</v>
      </c>
      <c r="BL14" s="83" t="str">
        <f aca="false">AS56</f>
        <v>1I</v>
      </c>
      <c r="BM14" s="84"/>
      <c r="BN14" s="85"/>
      <c r="BO14" s="86"/>
      <c r="BP14" s="99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Canada</v>
      </c>
      <c r="K15" s="76" t="n">
        <f aca="false">L15+M15+N15</f>
        <v>2</v>
      </c>
      <c r="L15" s="76" t="n">
        <f aca="false">VLOOKUP(1,AD14:AN17,3,FALSE())</f>
        <v>1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7 - 1</v>
      </c>
      <c r="P15" s="77" t="n">
        <f aca="false">L15*3+M15</f>
        <v>4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2</v>
      </c>
      <c r="AJ15" s="42" t="n">
        <f aca="false">SUMIF($E$7:$E$78,$AE15,$G$7:$G$78) + SUMIF($H$7:$H$78,$AE15,$F$7:$F$78)</f>
        <v>5</v>
      </c>
      <c r="AL15" s="42" t="n">
        <f aca="false">AI15-AJ15</f>
        <v>-3</v>
      </c>
      <c r="AM15" s="42" t="n">
        <f aca="false">AL15-AL18</f>
        <v>3</v>
      </c>
      <c r="AN15" s="42" t="n">
        <f aca="false">AF15*3+AG15</f>
        <v>1</v>
      </c>
      <c r="AO15" s="42" t="n">
        <f aca="false">AN15/AN18*10+BA15</f>
        <v>2</v>
      </c>
      <c r="AP15" s="42" t="n">
        <f aca="false">AO15*10000000+BI15*100+AM15/AM18*10+AI15/AI18*1++IF(AQ15=0,ROW(),AQ15)/2000000</f>
        <v>20000002.5583852</v>
      </c>
      <c r="AQ15" s="46" t="n">
        <f aca="false">VLOOKUP(AE15,db_fifarank,2,FALSE())</f>
        <v>1385.84</v>
      </c>
      <c r="AR15" s="45" t="n">
        <f aca="false">AP15/AP18</f>
        <v>0.249999997271855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0</v>
      </c>
      <c r="AV15" s="46" t="n">
        <f aca="false" t="array" ref="AV15:AV15">SUMPRODUCT(($E$7:$E$78=AE15)*($U$7:$U$78)*($F$7:$F$78))+SUMPRODUCT(($H$7:$H$78=AE15)*($U$7:$U$78)*($G$7:$G$78))</f>
        <v>0</v>
      </c>
      <c r="AW15" s="46" t="n">
        <f aca="false" t="array" ref="AW15:AW15">SUMPRODUCT(($E$7:$E$78=AE15)*($U$7:$U$78)*($G$7:$G$78))+SUMPRODUCT(($H$7:$H$78=AE15)*($U$7:$U$78)*($F$7:$F$78))</f>
        <v>0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0</v>
      </c>
      <c r="BA15" s="46" t="n">
        <f aca="false">AZ15/AZ18</f>
        <v>0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0</v>
      </c>
      <c r="BD15" s="46" t="n">
        <f aca="false" t="array" ref="BD15:BD15">SUMPRODUCT(($E$7:$E$78=AE15)*($X$7:$X$78)*($F$7:$F$78))+SUMPRODUCT(($H$7:$H$78=AE15)*($X$7:$X$78)*($G$7:$G$78))</f>
        <v>0</v>
      </c>
      <c r="BE15" s="46" t="n">
        <f aca="false" t="array" ref="BE15:BE15">SUMPRODUCT(($E$7:$E$78=AE15)*($X$7:$X$78)*($G$7:$G$78))+SUMPRODUCT(($H$7:$H$78=AE15)*($X$7:$X$78)*($F$7:$F$78))</f>
        <v>0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0</v>
      </c>
      <c r="BI15" s="46" t="n">
        <f aca="false">BH15/BH18</f>
        <v>0</v>
      </c>
      <c r="BK15" s="82"/>
      <c r="BL15" s="87" t="str">
        <f aca="false">IF(group_round_completed,VLOOKUP('3rd places'!I3,AK80:AS91,9,FALSE()),"3rd Group C/D/F/G/H")</f>
        <v>3rd Group C/D/F/G/H</v>
      </c>
      <c r="BM15" s="88"/>
      <c r="BN15" s="89"/>
      <c r="BO15" s="90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Switzerland</v>
      </c>
      <c r="K16" s="80" t="n">
        <f aca="false">L16+M16+N16</f>
        <v>2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0</v>
      </c>
      <c r="O16" s="80" t="str">
        <f aca="false">VLOOKUP(2,AD14:AN17,6,FALSE()) &amp; " - " &amp; VLOOKUP(2,AD14:AN17,7,FALSE())</f>
        <v>5 - 2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1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7</v>
      </c>
      <c r="AL16" s="42" t="n">
        <f aca="false">AI16-AJ16</f>
        <v>-6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2</v>
      </c>
      <c r="AP16" s="42" t="n">
        <f aca="false">AO16*10000000+BI16*100+AM16/AM18*10+AI16/AI18*1++IF(AQ16=0,ROW(),AQ16)/2000000</f>
        <v>20000000.1257275</v>
      </c>
      <c r="AQ16" s="46" t="n">
        <f aca="false">VLOOKUP(AE16,db_fifarank,2,FALSE())</f>
        <v>1454.96</v>
      </c>
      <c r="AR16" s="45" t="n">
        <f aca="false">AP16/AP18</f>
        <v>0.249999966863637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2</v>
      </c>
      <c r="L17" s="80" t="n">
        <f aca="false">VLOOKUP(3,AD14:AN17,3,FALSE())</f>
        <v>0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2 - 5</v>
      </c>
      <c r="P17" s="81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2</v>
      </c>
      <c r="AE17" s="44" t="str">
        <f aca="false">VLOOKUP("Switzerland",T,lang,FALSE())</f>
        <v>Switzerland</v>
      </c>
      <c r="AF17" s="42" t="n">
        <f aca="false">COUNTIF($S$7:$T$78,"=" &amp; AE17 &amp; "_win")</f>
        <v>1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5</v>
      </c>
      <c r="AJ17" s="42" t="n">
        <f aca="false">SUMIF($E$7:$E$78,$AE17,$G$7:$G$78) + SUMIF($H$7:$H$78,$AE17,$F$7:$F$78)</f>
        <v>2</v>
      </c>
      <c r="AL17" s="42" t="n">
        <f aca="false">AI17-AJ17</f>
        <v>3</v>
      </c>
      <c r="AM17" s="42" t="n">
        <f aca="false">AL17-AL18</f>
        <v>9</v>
      </c>
      <c r="AN17" s="42" t="n">
        <f aca="false">AF17*3+AG17</f>
        <v>4</v>
      </c>
      <c r="AO17" s="42" t="n">
        <f aca="false">AN17/AN18*10+BA17</f>
        <v>8</v>
      </c>
      <c r="AP17" s="42" t="n">
        <f aca="false">AO17*10000000+BI17*100+AM17/AM18*10+AI17/AI18*1++IF(AQ17=0,ROW(),AQ17)/2000000</f>
        <v>80000007.5489016</v>
      </c>
      <c r="AQ17" s="46" t="n">
        <f aca="false">VLOOKUP(AE17,db_fifarank,2,FALSE())</f>
        <v>1649.4</v>
      </c>
      <c r="AR17" s="45" t="n">
        <f aca="false">AP17/AP18</f>
        <v>0.999999955529433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100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2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1</v>
      </c>
      <c r="O18" s="94" t="str">
        <f aca="false">VLOOKUP(4,AD14:AN17,6,FALSE()) &amp; " - " &amp; VLOOKUP(4,AD14:AN17,7,FALSE())</f>
        <v>1 - 7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2</v>
      </c>
      <c r="AG18" s="42" t="n">
        <f aca="false">MAX(AG14:AG17)-MIN(AG14:AG17)+1</f>
        <v>1</v>
      </c>
      <c r="AH18" s="42" t="n">
        <f aca="false">MAX(AH14:AH17)-MIN(AH14:AH17)+1</f>
        <v>2</v>
      </c>
      <c r="AI18" s="42" t="n">
        <f aca="false">MAX(AI14:AI17)+1</f>
        <v>8</v>
      </c>
      <c r="AL18" s="42" t="n">
        <f aca="false">MIN(AL14:AL17)</f>
        <v>-6</v>
      </c>
      <c r="AM18" s="42" t="n">
        <f aca="false">MAX(AM14:AM17)+1</f>
        <v>13</v>
      </c>
      <c r="AN18" s="42" t="n">
        <f aca="false">MAX(AN14:AN17)+1</f>
        <v>5</v>
      </c>
      <c r="AO18" s="42" t="n">
        <f aca="false">MAX(AO14:AO17)+1</f>
        <v>9</v>
      </c>
      <c r="AP18" s="42" t="n">
        <f aca="false">MAX(AP14:AP17)+1</f>
        <v>80000011.1065475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</v>
      </c>
      <c r="BK18" s="82" t="n">
        <v>73</v>
      </c>
      <c r="BL18" s="83" t="str">
        <f aca="false">AS9</f>
        <v>2A</v>
      </c>
      <c r="BM18" s="84"/>
      <c r="BN18" s="85"/>
      <c r="BO18" s="86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2B</v>
      </c>
      <c r="BM19" s="88"/>
      <c r="BN19" s="89"/>
      <c r="BO19" s="90"/>
      <c r="BP19" s="91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1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4</v>
      </c>
      <c r="AJ20" s="42" t="n">
        <f aca="false">SUMIF($E$7:$E$78,$AE20,$G$7:$G$78) + SUMIF($H$7:$H$78,$AE20,$F$7:$F$78)</f>
        <v>1</v>
      </c>
      <c r="AL20" s="42" t="n">
        <f aca="false">AI20-AJ20</f>
        <v>3</v>
      </c>
      <c r="AM20" s="42" t="n">
        <f aca="false">AL20-AL24</f>
        <v>7</v>
      </c>
      <c r="AN20" s="42" t="n">
        <f aca="false">AF20*3+AG20</f>
        <v>4</v>
      </c>
      <c r="AO20" s="42" t="n">
        <f aca="false">AN20/AN24*10+BA20</f>
        <v>8.98058252427185</v>
      </c>
      <c r="AP20" s="42" t="n">
        <f aca="false">AO20*10000000+BI20*100+AM20/AM24*10+AI20/AI24*1++IF(AQ20=0,ROW(),AQ20)/2000000</f>
        <v>89805932.8518515</v>
      </c>
      <c r="AQ20" s="46" t="n">
        <f aca="false">VLOOKUP(AE20,db_fifarank,2,FALSE())</f>
        <v>1761.16</v>
      </c>
      <c r="AR20" s="45" t="n">
        <f aca="false">AP20/AP24</f>
        <v>0.999999988864878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/>
      </c>
      <c r="BT20" s="84"/>
      <c r="BU20" s="85"/>
      <c r="BV20" s="86"/>
      <c r="BW20" s="99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2</v>
      </c>
      <c r="L21" s="76" t="n">
        <f aca="false">VLOOKUP(1,AD20:AN23,3,FALSE())</f>
        <v>1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4 - 1</v>
      </c>
      <c r="P21" s="77" t="n">
        <f aca="false">L21*3+M21</f>
        <v>4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1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2</v>
      </c>
      <c r="AJ21" s="42" t="n">
        <f aca="false">SUMIF($E$7:$E$78,$AE21,$G$7:$G$78) + SUMIF($H$7:$H$78,$AE21,$F$7:$F$78)</f>
        <v>1</v>
      </c>
      <c r="AL21" s="42" t="n">
        <f aca="false">AI21-AJ21</f>
        <v>1</v>
      </c>
      <c r="AM21" s="42" t="n">
        <f aca="false">AL21-AL24</f>
        <v>5</v>
      </c>
      <c r="AN21" s="42" t="n">
        <f aca="false">AF21*3+AG21</f>
        <v>4</v>
      </c>
      <c r="AO21" s="42" t="n">
        <f aca="false">AN21/AN24*10+BA21</f>
        <v>8.98058252427185</v>
      </c>
      <c r="AP21" s="42" t="n">
        <f aca="false">AO21*10000000+BI21*100+AM21/AM24*10+AI21/AI24*1++IF(AQ21=0,ROW(),AQ21)/2000000</f>
        <v>89805929.9518488</v>
      </c>
      <c r="AQ21" s="46" t="n">
        <f aca="false">VLOOKUP(AE21,db_fifarank,2,FALSE())</f>
        <v>1755.87</v>
      </c>
      <c r="AR21" s="45" t="n">
        <f aca="false">AP21/AP24</f>
        <v>0.999999956572996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/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2</v>
      </c>
      <c r="L22" s="80" t="n">
        <f aca="false">VLOOKUP(2,AD20:AN23,3,FALSE())</f>
        <v>1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2 - 1</v>
      </c>
      <c r="P22" s="81" t="n">
        <f aca="false">L22*3+M22</f>
        <v>4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0</v>
      </c>
      <c r="V22" s="42" t="n">
        <f aca="false">U22*F22</f>
        <v>0</v>
      </c>
      <c r="W22" s="42" t="n">
        <f aca="false">U22*G22</f>
        <v>0</v>
      </c>
      <c r="X22" s="42" t="n">
        <f aca="false">IF(S22="",0,IF(VLOOKUP(E22,$AE$8:$AO$77,11,FALSE())=VLOOKUP(H22,$AE$8:$AO$77,11,FALSE()),1,0))</f>
        <v>0</v>
      </c>
      <c r="Y22" s="42" t="n">
        <f aca="false">X22*F22</f>
        <v>0</v>
      </c>
      <c r="Z22" s="42" t="n">
        <f aca="false">X22*G22</f>
        <v>0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2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4</v>
      </c>
      <c r="AL22" s="42" t="n">
        <f aca="false">AI22-AJ22</f>
        <v>-4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7.19167400525489E-012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1F</v>
      </c>
      <c r="BM22" s="84"/>
      <c r="BN22" s="85"/>
      <c r="BO22" s="86"/>
      <c r="BP22" s="99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2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1</v>
      </c>
      <c r="O23" s="80" t="str">
        <f aca="false">VLOOKUP(3,AD20:AN23,6,FALSE()) &amp; " - " &amp; VLOOKUP(3,AD20:AN23,7,FALSE())</f>
        <v>1 - 1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1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1</v>
      </c>
      <c r="AL23" s="42" t="n">
        <f aca="false">AI23-AJ23</f>
        <v>0</v>
      </c>
      <c r="AM23" s="42" t="n">
        <f aca="false">AL23-AL24</f>
        <v>4</v>
      </c>
      <c r="AN23" s="42" t="n">
        <f aca="false">AF23*3+AG23</f>
        <v>3</v>
      </c>
      <c r="AO23" s="42" t="n">
        <f aca="false">AN23/AN24*10+BA23</f>
        <v>6</v>
      </c>
      <c r="AP23" s="42" t="n">
        <f aca="false">AO23*10000000+BI23*100+AM23/AM24*10+AI23/AI24*1++IF(AQ23=0,ROW(),AQ23)/2000000</f>
        <v>60000005.2007492</v>
      </c>
      <c r="AQ23" s="46" t="n">
        <f aca="false">VLOOKUP(AE23,db_fifarank,2,FALSE())</f>
        <v>1498.35</v>
      </c>
      <c r="AR23" s="45" t="n">
        <f aca="false">AP23/AP24</f>
        <v>0.668107358025232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2C</v>
      </c>
      <c r="BM23" s="88"/>
      <c r="BN23" s="89"/>
      <c r="BO23" s="90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2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2</v>
      </c>
      <c r="O24" s="94" t="str">
        <f aca="false">VLOOKUP(4,AD20:AN23,6,FALSE()) &amp; " - " &amp; VLOOKUP(4,AD20:AN23,7,FALSE())</f>
        <v>0 - 4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3</v>
      </c>
      <c r="AI24" s="42" t="n">
        <f aca="false">MAX(AI20:AI23)+1</f>
        <v>5</v>
      </c>
      <c r="AL24" s="42" t="n">
        <f aca="false">MIN(AL20:AL23)</f>
        <v>-4</v>
      </c>
      <c r="AM24" s="42" t="n">
        <f aca="false">MAX(AM20:AM23)+1</f>
        <v>8</v>
      </c>
      <c r="AN24" s="42" t="n">
        <f aca="false">MAX(AN20:AN23)+1</f>
        <v>5</v>
      </c>
      <c r="AO24" s="42" t="n">
        <f aca="false">MAX(AO20:AO23)+1</f>
        <v>9.98058252427185</v>
      </c>
      <c r="AP24" s="42" t="n">
        <f aca="false">MAX(AP20:AP23)+1</f>
        <v>89805933.8518515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1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6</v>
      </c>
      <c r="AJ26" s="42" t="n">
        <f aca="false">SUMIF($E$7:$E$78,$AE26,$G$7:$G$78) + SUMIF($H$7:$H$78,$AE26,$F$7:$F$78)</f>
        <v>1</v>
      </c>
      <c r="AL26" s="42" t="n">
        <f aca="false">AI26-AJ26</f>
        <v>5</v>
      </c>
      <c r="AM26" s="42" t="n">
        <f aca="false">AL26-AL30</f>
        <v>8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85714295.461154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2K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2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6 - 1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1</v>
      </c>
      <c r="AN27" s="42" t="n">
        <f aca="false">AF27*3+AG27</f>
        <v>3</v>
      </c>
      <c r="AO27" s="42" t="n">
        <f aca="false">AN27/AN30*10+BA27</f>
        <v>4.28571428571429</v>
      </c>
      <c r="AP27" s="42" t="n">
        <f aca="false">AO27*10000000+BI27*100+AM27/AM30*10+AI27/AI30*1++IF(AQ27=0,ROW(),AQ27)/2000000</f>
        <v>42857144.25472</v>
      </c>
      <c r="AQ27" s="46" t="n">
        <f aca="false">VLOOKUP(AE27,db_fifarank,2,FALSE())</f>
        <v>1503.5</v>
      </c>
      <c r="AR27" s="45" t="n">
        <f aca="false">AP27/AP30</f>
        <v>0.499999953615007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2"/>
      <c r="BL27" s="87" t="str">
        <f aca="false">AS75</f>
        <v>2L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2</v>
      </c>
      <c r="L28" s="80" t="n">
        <f aca="false">VLOOKUP(2,AD26:AN29,3,FALSE())</f>
        <v>1</v>
      </c>
      <c r="M28" s="80" t="n">
        <f aca="false">VLOOKUP(2,AD26:AN29,4,FALSE())</f>
        <v>0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3</v>
      </c>
      <c r="AN28" s="42" t="n">
        <f aca="false">AF28*3+AG28</f>
        <v>3</v>
      </c>
      <c r="AO28" s="42" t="n">
        <f aca="false">AN28/AN30*10+BA28</f>
        <v>4.28571428571429</v>
      </c>
      <c r="AP28" s="42" t="n">
        <f aca="false">AO28*10000000+BI28*100+AM28/AM30*10+AI28/AI30*1++IF(AQ28=0,ROW(),AQ28)/2000000</f>
        <v>42857146.4769808</v>
      </c>
      <c r="AQ28" s="46" t="n">
        <f aca="false">VLOOKUP(AE28,db_fifarank,2,FALSE())</f>
        <v>1580.67</v>
      </c>
      <c r="AR28" s="45" t="n">
        <f aca="false">AP28/AP30</f>
        <v>0.49999997954138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2</v>
      </c>
      <c r="L29" s="80" t="n">
        <f aca="false">VLOOKUP(3,AD26:AN29,3,FALSE())</f>
        <v>1</v>
      </c>
      <c r="M29" s="80" t="n">
        <f aca="false">VLOOKUP(3,AD26:AN29,4,FALSE())</f>
        <v>0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3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1</v>
      </c>
      <c r="V29" s="42" t="n">
        <f aca="false">U29*F29</f>
        <v>1</v>
      </c>
      <c r="W29" s="42" t="n">
        <f aca="false">U29*G29</f>
        <v>1</v>
      </c>
      <c r="X29" s="42" t="n">
        <f aca="false">IF(S29="",0,IF(VLOOKUP(E29,$AE$8:$AO$77,11,FALSE())=VLOOKUP(H29,$AE$8:$AO$77,11,FALSE()),1,0))</f>
        <v>1</v>
      </c>
      <c r="Y29" s="42" t="n">
        <f aca="false">X29*F29</f>
        <v>1</v>
      </c>
      <c r="Z29" s="42" t="n">
        <f aca="false">X29*G29</f>
        <v>1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3</v>
      </c>
      <c r="AL29" s="42" t="n">
        <f aca="false">AI29-AJ29</f>
        <v>-3</v>
      </c>
      <c r="AM29" s="42" t="n">
        <f aca="false">AL29-AL30</f>
        <v>0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0.00079952</v>
      </c>
      <c r="AQ29" s="46" t="n">
        <f aca="false">VLOOKUP(AE29,db_fifarank,2,FALSE())</f>
        <v>1599.04</v>
      </c>
      <c r="AR29" s="45" t="n">
        <f aca="false">AP29/AP30</f>
        <v>9.32773216382106E-012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2</v>
      </c>
      <c r="L30" s="94" t="n">
        <f aca="false">VLOOKUP(4,AD26:AN29,3,FALSE())</f>
        <v>0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0 - 3</v>
      </c>
      <c r="P30" s="95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3</v>
      </c>
      <c r="AG30" s="42" t="n">
        <f aca="false">MAX(AG26:AG29)-MIN(AG26:AG29)+1</f>
        <v>1</v>
      </c>
      <c r="AH30" s="42" t="n">
        <f aca="false">MAX(AH26:AH29)-MIN(AH26:AH29)+1</f>
        <v>3</v>
      </c>
      <c r="AI30" s="42" t="n">
        <f aca="false">MAX(AI26:AI29)+1</f>
        <v>7</v>
      </c>
      <c r="AL30" s="42" t="n">
        <f aca="false">MIN(AL26:AL29)</f>
        <v>-3</v>
      </c>
      <c r="AM30" s="42" t="n">
        <f aca="false">MAX(AM26:AM29)+1</f>
        <v>9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85714296.461154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2" t="n">
        <v>84</v>
      </c>
      <c r="BL30" s="83" t="str">
        <f aca="false">AS50</f>
        <v>1H</v>
      </c>
      <c r="BM30" s="84"/>
      <c r="BN30" s="85"/>
      <c r="BO30" s="86"/>
      <c r="BP30" s="99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1</v>
      </c>
      <c r="V31" s="42" t="n">
        <f aca="false">U31*F31</f>
        <v>1</v>
      </c>
      <c r="W31" s="42" t="n">
        <f aca="false">U31*G31</f>
        <v>1</v>
      </c>
      <c r="X31" s="42" t="n">
        <f aca="false">IF(S31="",0,IF(VLOOKUP(E31,$AE$8:$AO$77,11,FALSE())=VLOOKUP(H31,$AE$8:$AO$77,11,FALSE()),1,0))</f>
        <v>1</v>
      </c>
      <c r="Y31" s="42" t="n">
        <f aca="false">X31*F31</f>
        <v>1</v>
      </c>
      <c r="Z31" s="42" t="n">
        <f aca="false">X31*G31</f>
        <v>1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2J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102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9</v>
      </c>
      <c r="AJ32" s="42" t="n">
        <f aca="false">SUMIF($E$7:$E$78,$AE32,$G$7:$G$78) + SUMIF($H$7:$H$78,$AE32,$F$7:$F$78)</f>
        <v>2</v>
      </c>
      <c r="AL32" s="42" t="n">
        <f aca="false">AI32-AJ32</f>
        <v>7</v>
      </c>
      <c r="AM32" s="42" t="n">
        <f aca="false">AL32-AL36</f>
        <v>13</v>
      </c>
      <c r="AN32" s="42" t="n">
        <f aca="false">AF32*3+AG32</f>
        <v>6</v>
      </c>
      <c r="AO32" s="42" t="n">
        <f aca="false">AN32/AN36*10+BA32</f>
        <v>8.57142857142857</v>
      </c>
      <c r="AP32" s="42" t="n">
        <f aca="false">AO32*10000000+BI32*100+AM32/AM36*10+AI32/AI36*1++IF(AQ32=0,ROW(),AQ32)/2000000</f>
        <v>85714295.9008652</v>
      </c>
      <c r="AQ32" s="46" t="n">
        <f aca="false">VLOOKUP(AE32,db_fifarank,2,FALSE())</f>
        <v>1730.37</v>
      </c>
      <c r="AR32" s="45" t="n">
        <f aca="false">AP32/AP36</f>
        <v>0.999999988333335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9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2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9 - 2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2.40896358543417</v>
      </c>
      <c r="AP33" s="42" t="n">
        <f aca="false">AO33*10000000+BI33*100+AM33/AM36*10+AI33/AI36*1++IF(AQ33=0,ROW(),AQ33)/2000000</f>
        <v>24089733.9942048</v>
      </c>
      <c r="AQ33" s="46" t="n">
        <f aca="false">VLOOKUP(AE33,db_fifarank,2,FALSE())</f>
        <v>1294.65</v>
      </c>
      <c r="AR33" s="45" t="n">
        <f aca="false">AP33/AP36</f>
        <v>0.281046859919603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1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50</v>
      </c>
      <c r="BA33" s="46" t="n">
        <f aca="false">AZ33/AZ36</f>
        <v>0.980392156862745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1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50</v>
      </c>
      <c r="BI33" s="46" t="n">
        <f aca="false">BH33/BH36</f>
        <v>0.980392156862745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2</v>
      </c>
      <c r="L34" s="80" t="n">
        <f aca="false">VLOOKUP(2,AD32:AN35,3,FALSE())</f>
        <v>1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2 - 2</v>
      </c>
      <c r="P34" s="81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2</v>
      </c>
      <c r="AJ34" s="42" t="n">
        <f aca="false">SUMIF($E$7:$E$78,$AE34,$G$7:$G$78) + SUMIF($H$7:$H$78,$AE34,$F$7:$F$78)</f>
        <v>2</v>
      </c>
      <c r="AL34" s="42" t="n">
        <f aca="false">AI34-AJ34</f>
        <v>0</v>
      </c>
      <c r="AM34" s="42" t="n">
        <f aca="false">AL34-AL36</f>
        <v>6</v>
      </c>
      <c r="AN34" s="42" t="n">
        <f aca="false">AF34*3+AG34</f>
        <v>3</v>
      </c>
      <c r="AO34" s="42" t="n">
        <f aca="false">AN34/AN36*10+BA34</f>
        <v>4.28571428571429</v>
      </c>
      <c r="AP34" s="42" t="n">
        <f aca="false">AO34*10000000+BI34*100+AM34/AM36*10+AI34/AI36*1++IF(AQ34=0,ROW(),AQ34)/2000000</f>
        <v>42857147.3436236</v>
      </c>
      <c r="AQ34" s="46" t="n">
        <f aca="false">VLOOKUP(AE34,db_fifarank,2,FALSE())</f>
        <v>1532.98</v>
      </c>
      <c r="AR34" s="45" t="n">
        <f aca="false">AP34/AP36</f>
        <v>0.499999987087231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1D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2</v>
      </c>
      <c r="L35" s="80" t="n">
        <f aca="false">VLOOKUP(3,AD32:AN35,3,FALSE())</f>
        <v>0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0 - 1</v>
      </c>
      <c r="P35" s="81" t="n">
        <f aca="false">L35*3+M35</f>
        <v>1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1</v>
      </c>
      <c r="AO35" s="42" t="n">
        <f aca="false">AN35/AN36*10+BA35</f>
        <v>2.40896358543417</v>
      </c>
      <c r="AP35" s="42" t="n">
        <f aca="false">AO35*10000000+BI35*100+AM35/AM36*10+AI35/AI36*1++IF(AQ35=0,ROW(),AQ35)/2000000</f>
        <v>24089737.4657834</v>
      </c>
      <c r="AQ35" s="46" t="n">
        <f aca="false">VLOOKUP(AE35,db_fifarank,2,FALSE())</f>
        <v>1594.78</v>
      </c>
      <c r="AR35" s="45" t="n">
        <f aca="false">AP35/AP36</f>
        <v>0.281046900421349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1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50</v>
      </c>
      <c r="BA35" s="46" t="n">
        <f aca="false">AZ35/AZ36</f>
        <v>0.980392156862745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1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50</v>
      </c>
      <c r="BI35" s="46" t="n">
        <f aca="false">BH35/BH36</f>
        <v>0.980392156862745</v>
      </c>
      <c r="BK35" s="82"/>
      <c r="BL35" s="87" t="str">
        <f aca="false">IF(group_round_completed,VLOOKUP('3rd places'!F3,AK80:AS91,9,FALSE()),"3rd Group B/E/F/I/J")</f>
        <v>3rd Group B/E/F/I/J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2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1</v>
      </c>
      <c r="O36" s="94" t="str">
        <f aca="false">VLOOKUP(4,AD32:AN35,6,FALSE()) &amp; " - " &amp; VLOOKUP(4,AD32:AN35,7,FALSE())</f>
        <v>1 - 7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10</v>
      </c>
      <c r="AL36" s="42" t="n">
        <f aca="false">MIN(AL32:AL35)</f>
        <v>-6</v>
      </c>
      <c r="AM36" s="42" t="n">
        <f aca="false">MAX(AM32:AM35)+1</f>
        <v>14</v>
      </c>
      <c r="AN36" s="42" t="n">
        <f aca="false">MAX(AN32:AN35)+1</f>
        <v>7</v>
      </c>
      <c r="AO36" s="42" t="n">
        <f aca="false">MAX(AO32:AO35)+1</f>
        <v>9.57142857142857</v>
      </c>
      <c r="AP36" s="42" t="n">
        <f aca="false">MAX(AP32:AP35)+1</f>
        <v>85714296.9008652</v>
      </c>
      <c r="AT36" s="46" t="n">
        <f aca="false">MAX(AT32:AT35)-MIN(AT32:AT35)+1</f>
        <v>1</v>
      </c>
      <c r="AU36" s="46" t="n">
        <f aca="false">MAX(AU32:AU35)-MIN(AU32:AU35)+1</f>
        <v>2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51</v>
      </c>
      <c r="BB36" s="46" t="n">
        <f aca="false">MAX(BB32:BB35)-MIN(BB32:BB35)+1</f>
        <v>1</v>
      </c>
      <c r="BC36" s="46" t="n">
        <f aca="false">MAX(BC32:BC35)-MIN(BC32:BC35)+1</f>
        <v>2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51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9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1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7</v>
      </c>
      <c r="AJ38" s="42" t="n">
        <f aca="false">SUMIF($E$7:$E$78,$AE38,$G$7:$G$78) + SUMIF($H$7:$H$78,$AE38,$F$7:$F$78)</f>
        <v>3</v>
      </c>
      <c r="AL38" s="42" t="n">
        <f aca="false">AI38-AJ38</f>
        <v>4</v>
      </c>
      <c r="AM38" s="42" t="n">
        <f aca="false">AL38-AL42</f>
        <v>12</v>
      </c>
      <c r="AN38" s="42" t="n">
        <f aca="false">AF38*3+AG38</f>
        <v>4</v>
      </c>
      <c r="AO38" s="42" t="n">
        <f aca="false">AN38/AN42*10+BA38</f>
        <v>8.98064516129032</v>
      </c>
      <c r="AP38" s="42" t="n">
        <f aca="false">AO38*10000000+BI38*100+AM38/AM42*10+AI38/AI42*1++IF(AQ38=0,ROW(),AQ38)/2000000</f>
        <v>89806559.7840675</v>
      </c>
      <c r="AQ38" s="46" t="n">
        <f aca="false">VLOOKUP(AE38,db_fifarank,2,FALSE())</f>
        <v>1757.87</v>
      </c>
      <c r="AR38" s="45" t="n">
        <f aca="false">AP38/AP42</f>
        <v>0.999999988864956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2" t="n">
        <v>82</v>
      </c>
      <c r="BL38" s="83" t="str">
        <f aca="false">AS44</f>
        <v>1G</v>
      </c>
      <c r="BM38" s="84"/>
      <c r="BN38" s="85"/>
      <c r="BO38" s="86"/>
      <c r="BP38" s="99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2</v>
      </c>
      <c r="L39" s="76" t="n">
        <f aca="false">VLOOKUP(1,AD38:AN41,3,FALSE())</f>
        <v>1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7 - 3</v>
      </c>
      <c r="P39" s="77" t="n">
        <f aca="false">L39*3+M39</f>
        <v>4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6</v>
      </c>
      <c r="AJ39" s="42" t="n">
        <f aca="false">SUMIF($E$7:$E$78,$AE39,$G$7:$G$78) + SUMIF($H$7:$H$78,$AE39,$F$7:$F$78)</f>
        <v>2</v>
      </c>
      <c r="AL39" s="42" t="n">
        <f aca="false">AI39-AJ39</f>
        <v>4</v>
      </c>
      <c r="AM39" s="42" t="n">
        <f aca="false">AL39-AL42</f>
        <v>12</v>
      </c>
      <c r="AN39" s="42" t="n">
        <f aca="false">AF39*3+AG39</f>
        <v>4</v>
      </c>
      <c r="AO39" s="42" t="n">
        <f aca="false">AN39/AN42*10+BA39</f>
        <v>8.98064516129032</v>
      </c>
      <c r="AP39" s="42" t="n">
        <f aca="false">AO39*10000000+BI39*100+AM39/AM42*10+AI39/AI42*1++IF(AQ39=0,ROW(),AQ39)/2000000</f>
        <v>89806559.6590188</v>
      </c>
      <c r="AQ39" s="46" t="n">
        <f aca="false">VLOOKUP(AE39,db_fifarank,2,FALSE())</f>
        <v>1660.43</v>
      </c>
      <c r="AR39" s="45" t="n">
        <f aca="false">AP39/AP42</f>
        <v>0.999999987472533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2"/>
      <c r="BL39" s="87" t="str">
        <f aca="false">IF(group_round_completed,VLOOKUP('3rd places'!H3,AK80:AS91,9,FALSE()),"3rd Group A/E/H/I/J")</f>
        <v>3rd Group A/E/H/I/J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2</v>
      </c>
      <c r="L40" s="80" t="n">
        <f aca="false">VLOOKUP(2,AD38:AN41,3,FALSE())</f>
        <v>1</v>
      </c>
      <c r="M40" s="80" t="n">
        <f aca="false">VLOOKUP(2,AD38:AN41,4,FALSE())</f>
        <v>1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6 - 2</v>
      </c>
      <c r="P40" s="81" t="n">
        <f aca="false">L40*3+M40</f>
        <v>4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1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1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6</v>
      </c>
      <c r="AJ40" s="42" t="n">
        <f aca="false">SUMIF($E$7:$E$78,$AE40,$G$7:$G$78) + SUMIF($H$7:$H$78,$AE40,$F$7:$F$78)</f>
        <v>6</v>
      </c>
      <c r="AL40" s="42" t="n">
        <f aca="false">AI40-AJ40</f>
        <v>0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6</v>
      </c>
      <c r="AP40" s="42" t="n">
        <f aca="false">AO40*10000000+BI40*100+AM40/AM42*10+AI40/AI42*1++IF(AQ40=0,ROW(),AQ40)/2000000</f>
        <v>60000006.9046035</v>
      </c>
      <c r="AQ40" s="46" t="n">
        <f aca="false">VLOOKUP(AE40,db_fifarank,2,FALSE())</f>
        <v>1514.77</v>
      </c>
      <c r="AR40" s="45" t="n">
        <f aca="false">AP40/AP42</f>
        <v>0.668102712995197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2</v>
      </c>
      <c r="L41" s="80" t="n">
        <f aca="false">VLOOKUP(3,AD38:AN41,3,FALSE())</f>
        <v>1</v>
      </c>
      <c r="M41" s="80" t="n">
        <f aca="false">VLOOKUP(3,AD38:AN41,4,FALSE())</f>
        <v>0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6 - 6</v>
      </c>
      <c r="P41" s="81" t="n">
        <f aca="false">L41*3+M41</f>
        <v>3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2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9</v>
      </c>
      <c r="AL41" s="42" t="n">
        <f aca="false">AI41-AJ41</f>
        <v>-8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0.125741525</v>
      </c>
      <c r="AQ41" s="46" t="n">
        <f aca="false">VLOOKUP(AE41,db_fifarank,2,FALSE())</f>
        <v>1483.05</v>
      </c>
      <c r="AR41" s="45" t="n">
        <f aca="false">AP41/AP42</f>
        <v>1.40013740535433E-009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2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2</v>
      </c>
      <c r="O42" s="94" t="str">
        <f aca="false">VLOOKUP(4,AD38:AN41,6,FALSE()) &amp; " - " &amp; VLOOKUP(4,AD38:AN41,7,FALSE())</f>
        <v>1 - 9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3</v>
      </c>
      <c r="AI42" s="42" t="n">
        <f aca="false">MAX(AI38:AI41)+1</f>
        <v>8</v>
      </c>
      <c r="AL42" s="42" t="n">
        <f aca="false">MIN(AL38:AL41)</f>
        <v>-8</v>
      </c>
      <c r="AM42" s="42" t="n">
        <f aca="false">MAX(AM38:AM41)+1</f>
        <v>13</v>
      </c>
      <c r="AN42" s="42" t="n">
        <f aca="false">MAX(AN38:AN41)+1</f>
        <v>5</v>
      </c>
      <c r="AO42" s="42" t="n">
        <f aca="false">MAX(AO38:AO41)+1</f>
        <v>9.98064516129032</v>
      </c>
      <c r="AP42" s="42" t="n">
        <f aca="false">MAX(AP38:AP41)+1</f>
        <v>89806560.7840675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2" t="n">
        <v>76</v>
      </c>
      <c r="BL42" s="83" t="str">
        <f aca="false">AS20</f>
        <v>1C</v>
      </c>
      <c r="BM42" s="84"/>
      <c r="BN42" s="85"/>
      <c r="BO42" s="86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1</v>
      </c>
      <c r="V43" s="42" t="n">
        <f aca="false">U43*F43</f>
        <v>2</v>
      </c>
      <c r="W43" s="42" t="n">
        <f aca="false">U43*G43</f>
        <v>2</v>
      </c>
      <c r="X43" s="42" t="n">
        <f aca="false">IF(S43="",0,IF(VLOOKUP(E43,$AE$8:$AO$77,11,FALSE())=VLOOKUP(H43,$AE$8:$AO$77,11,FALSE()),1,0))</f>
        <v>1</v>
      </c>
      <c r="Y43" s="42" t="n">
        <f aca="false">X43*F43</f>
        <v>2</v>
      </c>
      <c r="Z43" s="42" t="n">
        <f aca="false">X43*G43</f>
        <v>2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2F</v>
      </c>
      <c r="BM43" s="88"/>
      <c r="BN43" s="89"/>
      <c r="BO43" s="90"/>
      <c r="BP43" s="91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2</v>
      </c>
      <c r="AN44" s="42" t="n">
        <f aca="false">AF44*3+AG44</f>
        <v>2</v>
      </c>
      <c r="AO44" s="42" t="n">
        <f aca="false">AN44/AN48*10+BA44</f>
        <v>4.98039215686275</v>
      </c>
      <c r="AP44" s="42" t="n">
        <f aca="false">AO44*10000000+BI44*100+AM44/AM48*10+AI44/AI48*1++IF(AQ44=0,ROW(),AQ44)/2000000</f>
        <v>49804023.8087105</v>
      </c>
      <c r="AQ44" s="46" t="n">
        <f aca="false">VLOOKUP(AE44,db_fifarank,2,FALSE())</f>
        <v>1734.71</v>
      </c>
      <c r="AR44" s="45" t="n">
        <f aca="false">AP44/AP48</f>
        <v>0.622550221340397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0</v>
      </c>
      <c r="AW44" s="46" t="n">
        <f aca="false" t="array" ref="AW44:AW44">SUMPRODUCT(($E$7:$E$78=AE44)*($U$7:$U$78)*($G$7:$G$78))+SUMPRODUCT(($H$7:$H$78=AE44)*($U$7:$U$78)*($F$7:$F$78))</f>
        <v>0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</v>
      </c>
      <c r="BA44" s="46" t="n">
        <f aca="false">AZ44/AZ48</f>
        <v>0.980392156862745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0</v>
      </c>
      <c r="BE44" s="46" t="n">
        <f aca="false" t="array" ref="BE44:BE44">SUMPRODUCT(($E$7:$E$78=AE44)*($X$7:$X$78)*($G$7:$G$78))+SUMPRODUCT(($H$7:$H$78=AE44)*($X$7:$X$78)*($F$7:$F$78))</f>
        <v>0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</v>
      </c>
      <c r="BI44" s="46" t="n">
        <f aca="false">BH44/BH48</f>
        <v>0.980392156862745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/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Egypt</v>
      </c>
      <c r="K45" s="76" t="n">
        <f aca="false">L45+M45+N45</f>
        <v>2</v>
      </c>
      <c r="L45" s="76" t="n">
        <f aca="false">VLOOKUP(1,AD44:AN47,3,FALSE())</f>
        <v>1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4 - 2</v>
      </c>
      <c r="P45" s="77" t="n">
        <f aca="false">L45*3+M45</f>
        <v>4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1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1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1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4</v>
      </c>
      <c r="AJ45" s="42" t="n">
        <f aca="false">SUMIF($E$7:$E$78,$AE45,$G$7:$G$78) + SUMIF($H$7:$H$78,$AE45,$F$7:$F$78)</f>
        <v>2</v>
      </c>
      <c r="AL45" s="42" t="n">
        <f aca="false">AI45-AJ45</f>
        <v>2</v>
      </c>
      <c r="AM45" s="42" t="n">
        <f aca="false">AL45-AL48</f>
        <v>4</v>
      </c>
      <c r="AN45" s="42" t="n">
        <f aca="false">AF45*3+AG45</f>
        <v>4</v>
      </c>
      <c r="AO45" s="42" t="n">
        <f aca="false">AN45/AN48*10+BA45</f>
        <v>8</v>
      </c>
      <c r="AP45" s="42" t="n">
        <f aca="false">AO45*10000000+BI45*100+AM45/AM48*10+AI45/AI48*1++IF(AQ45=0,ROW(),AQ45)/2000000</f>
        <v>80000008.8007816</v>
      </c>
      <c r="AQ45" s="46" t="n">
        <f aca="false">VLOOKUP(AE45,db_fifarank,2,FALSE())</f>
        <v>1563.24</v>
      </c>
      <c r="AR45" s="45" t="n">
        <f aca="false">AP45/AP48</f>
        <v>0.999999987500002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0</v>
      </c>
      <c r="AV45" s="46" t="n">
        <f aca="false" t="array" ref="AV45:AV45">SUMPRODUCT(($E$7:$E$78=AE45)*($U$7:$U$78)*($F$7:$F$78))+SUMPRODUCT(($H$7:$H$78=AE45)*($U$7:$U$78)*($G$7:$G$78))</f>
        <v>0</v>
      </c>
      <c r="AW45" s="46" t="n">
        <f aca="false" t="array" ref="AW45:AW45">SUMPRODUCT(($E$7:$E$78=AE45)*($U$7:$U$78)*($G$7:$G$78))+SUMPRODUCT(($H$7:$H$78=AE45)*($U$7:$U$78)*($F$7:$F$78))</f>
        <v>0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0</v>
      </c>
      <c r="BA45" s="46" t="n">
        <f aca="false">AZ45/AZ48</f>
        <v>0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0</v>
      </c>
      <c r="BD45" s="46" t="n">
        <f aca="false" t="array" ref="BD45:BD45">SUMPRODUCT(($E$7:$E$78=AE45)*($X$7:$X$78)*($F$7:$F$78))+SUMPRODUCT(($H$7:$H$78=AE45)*($X$7:$X$78)*($G$7:$G$78))</f>
        <v>0</v>
      </c>
      <c r="BE45" s="46" t="n">
        <f aca="false" t="array" ref="BE45:BE45">SUMPRODUCT(($E$7:$E$78=AE45)*($X$7:$X$78)*($G$7:$G$78))+SUMPRODUCT(($H$7:$H$78=AE45)*($X$7:$X$78)*($F$7:$F$78))</f>
        <v>0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0</v>
      </c>
      <c r="BI45" s="46" t="n">
        <f aca="false">BH45/BH48</f>
        <v>0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/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Iran</v>
      </c>
      <c r="K46" s="80" t="n">
        <f aca="false">L46+M46+N46</f>
        <v>2</v>
      </c>
      <c r="L46" s="80" t="n">
        <f aca="false">VLOOKUP(2,AD44:AN47,3,FALSE())</f>
        <v>0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2 - 2</v>
      </c>
      <c r="P46" s="81" t="n">
        <f aca="false">L46*3+M46</f>
        <v>2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2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2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2</v>
      </c>
      <c r="AN46" s="42" t="n">
        <f aca="false">AF46*3+AG46</f>
        <v>2</v>
      </c>
      <c r="AO46" s="42" t="n">
        <f aca="false">AN46/AN48*10+BA46</f>
        <v>4.98039215686275</v>
      </c>
      <c r="AP46" s="42" t="n">
        <f aca="false">AO46*10000000+BI46*100+AM46/AM48*10+AI46/AI48*1++IF(AQ46=0,ROW(),AQ46)/2000000</f>
        <v>49804024.0086508</v>
      </c>
      <c r="AQ46" s="46" t="n">
        <f aca="false">VLOOKUP(AE46,db_fifarank,2,FALSE())</f>
        <v>1615.3</v>
      </c>
      <c r="AR46" s="45" t="n">
        <f aca="false">AP46/AP48</f>
        <v>0.62255022383965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50</v>
      </c>
      <c r="BA46" s="46" t="n">
        <f aca="false">AZ46/AZ48</f>
        <v>0.980392156862745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50</v>
      </c>
      <c r="BI46" s="46" t="n">
        <f aca="false">BH46/BH48</f>
        <v>0.980392156862745</v>
      </c>
      <c r="BK46" s="82" t="n">
        <v>78</v>
      </c>
      <c r="BL46" s="83" t="str">
        <f aca="false">AS33</f>
        <v>2E</v>
      </c>
      <c r="BM46" s="84"/>
      <c r="BN46" s="85"/>
      <c r="BO46" s="86"/>
      <c r="BP46" s="99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Belgium</v>
      </c>
      <c r="K47" s="80" t="n">
        <f aca="false">L47+M47+N47</f>
        <v>2</v>
      </c>
      <c r="L47" s="80" t="n">
        <f aca="false">VLOOKUP(3,AD44:AN47,3,FALSE())</f>
        <v>0</v>
      </c>
      <c r="M47" s="80" t="n">
        <f aca="false">VLOOKUP(3,AD44:AN47,4,FALSE())</f>
        <v>2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1 - 1</v>
      </c>
      <c r="P47" s="81" t="n">
        <f aca="false">L47*3+M47</f>
        <v>2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1</v>
      </c>
      <c r="AI47" s="42" t="n">
        <f aca="false">SUMIF($E$7:$E$78,$AE47,$F$7:$F$78) + SUMIF($H$7:$H$78,$AE47,$G$7:$G$78)</f>
        <v>3</v>
      </c>
      <c r="AJ47" s="42" t="n">
        <f aca="false">SUMIF($E$7:$E$78,$AE47,$G$7:$G$78) + SUMIF($H$7:$H$78,$AE47,$F$7:$F$78)</f>
        <v>5</v>
      </c>
      <c r="AL47" s="42" t="n">
        <f aca="false">AI47-AJ47</f>
        <v>-2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2</v>
      </c>
      <c r="AP47" s="42" t="n">
        <f aca="false">AO47*10000000+BI47*100+AM47/AM48*10+AI47/AI48*1++IF(AQ47=0,ROW(),AQ47)/2000000</f>
        <v>20000000.6006408</v>
      </c>
      <c r="AQ47" s="46" t="n">
        <f aca="false">VLOOKUP(AE47,db_fifarank,2,FALSE())</f>
        <v>1281.57</v>
      </c>
      <c r="AR47" s="45" t="n">
        <f aca="false">AP47/AP48</f>
        <v>0.24999997688057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2I</v>
      </c>
      <c r="BM47" s="88"/>
      <c r="BN47" s="89"/>
      <c r="BO47" s="90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1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2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1</v>
      </c>
      <c r="O48" s="94" t="str">
        <f aca="false">VLOOKUP(4,AD44:AN47,6,FALSE()) &amp; " - " &amp; VLOOKUP(4,AD44:AN47,7,FALSE())</f>
        <v>3 - 5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2</v>
      </c>
      <c r="AH48" s="42" t="n">
        <f aca="false">MAX(AH44:AH47)-MIN(AH44:AH47)+1</f>
        <v>2</v>
      </c>
      <c r="AI48" s="42" t="n">
        <f aca="false">MAX(AI44:AI47)+1</f>
        <v>5</v>
      </c>
      <c r="AL48" s="42" t="n">
        <f aca="false">MIN(AL44:AL47)</f>
        <v>-2</v>
      </c>
      <c r="AM48" s="42" t="n">
        <f aca="false">MAX(AM44:AM47)+1</f>
        <v>5</v>
      </c>
      <c r="AN48" s="42" t="n">
        <f aca="false">MAX(AN44:AN47)+1</f>
        <v>5</v>
      </c>
      <c r="AO48" s="42" t="n">
        <f aca="false">MAX(AO44:AO47)+1</f>
        <v>9</v>
      </c>
      <c r="AP48" s="42" t="n">
        <f aca="false">MAX(AP44:AP47)+1</f>
        <v>80000009.8007816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1</v>
      </c>
      <c r="AW48" s="46" t="n">
        <f aca="false">MAX(AW44:AW47)-MIN(AW44:AW47)+1</f>
        <v>1</v>
      </c>
      <c r="AY48" s="46" t="n">
        <f aca="false">MAX(AY44:AY47)-MIN(AY44:AY47)+1</f>
        <v>1</v>
      </c>
      <c r="AZ48" s="46" t="n">
        <f aca="false">MAX(AZ44:AZ47)+1</f>
        <v>51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1</v>
      </c>
      <c r="BE48" s="46" t="n">
        <f aca="false">MAX(BE44:BE47)-MIN(BE44:BE47)+1</f>
        <v>1</v>
      </c>
      <c r="BG48" s="46" t="n">
        <f aca="false">MAX(BG44:BG47)-MIN(BG44:BG47)+1</f>
        <v>1</v>
      </c>
      <c r="BH48" s="46" t="n">
        <f aca="false">MAX(BH44:BH47)+1</f>
        <v>51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1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4</v>
      </c>
      <c r="AJ50" s="42" t="n">
        <f aca="false">SUMIF($E$7:$E$78,$AE50,$G$7:$G$78) + SUMIF($H$7:$H$78,$AE50,$F$7:$F$78)</f>
        <v>0</v>
      </c>
      <c r="AL50" s="42" t="n">
        <f aca="false">AI50-AJ50</f>
        <v>4</v>
      </c>
      <c r="AM50" s="42" t="n">
        <f aca="false">AL50-AL54</f>
        <v>8</v>
      </c>
      <c r="AN50" s="42" t="n">
        <f aca="false">AF50*3+AG50</f>
        <v>4</v>
      </c>
      <c r="AO50" s="42" t="n">
        <f aca="false">AN50/AN54*10+BA50</f>
        <v>8</v>
      </c>
      <c r="AP50" s="42" t="n">
        <f aca="false">AO50*10000000+BI50*100+AM50/AM54*10+AI50/AI54*1++IF(AQ50=0,ROW(),AQ50)/2000000</f>
        <v>80000009.6898271</v>
      </c>
      <c r="AQ50" s="46" t="n">
        <f aca="false">VLOOKUP(AE50,db_fifarank,2,FALSE())</f>
        <v>1876.4</v>
      </c>
      <c r="AR50" s="45" t="n">
        <f aca="false">AP50/AP54</f>
        <v>0.999999987500002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1A</v>
      </c>
      <c r="BM50" s="84"/>
      <c r="BN50" s="85"/>
      <c r="BO50" s="86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/>
      <c r="G51" s="69"/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2</v>
      </c>
      <c r="L51" s="76" t="n">
        <f aca="false">VLOOKUP(1,AD50:AN53,3,FALSE())</f>
        <v>1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4 - 0</v>
      </c>
      <c r="P51" s="77" t="n">
        <f aca="false">L51*3+M51</f>
        <v>4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3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2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2</v>
      </c>
      <c r="AO51" s="42" t="n">
        <f aca="false">AN51/AN54*10+BA51</f>
        <v>4.98064516129032</v>
      </c>
      <c r="AP51" s="42" t="n">
        <f aca="false">AO51*10000000+BI51*100+AM51/AM54*10+AI51/AI54*1++IF(AQ51=0,ROW(),AQ51)/2000000</f>
        <v>49806554.5225469</v>
      </c>
      <c r="AQ51" s="46" t="n">
        <f aca="false">VLOOKUP(AE51,db_fifarank,2,FALSE())</f>
        <v>1366.13</v>
      </c>
      <c r="AR51" s="45" t="n">
        <f aca="false">AP51/AP54</f>
        <v>0.622581848340682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2</v>
      </c>
      <c r="AW51" s="46" t="n">
        <f aca="false" t="array" ref="AW51:AW51">SUMPRODUCT(($E$7:$E$78=AE51)*($U$7:$U$78)*($G$7:$G$78))+SUMPRODUCT(($H$7:$H$78=AE51)*($U$7:$U$78)*($F$7:$F$78))</f>
        <v>2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50.6666666666667</v>
      </c>
      <c r="BA51" s="46" t="n">
        <f aca="false">AZ51/AZ54</f>
        <v>0.980645161290323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2</v>
      </c>
      <c r="BE51" s="46" t="n">
        <f aca="false" t="array" ref="BE51:BE51">SUMPRODUCT(($E$7:$E$78=AE51)*($X$7:$X$78)*($G$7:$G$78))+SUMPRODUCT(($H$7:$H$78=AE51)*($X$7:$X$78)*($F$7:$F$78))</f>
        <v>2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50.6666666666667</v>
      </c>
      <c r="BI51" s="46" t="n">
        <f aca="false">BH51/BH54</f>
        <v>0.980645161290323</v>
      </c>
      <c r="BK51" s="82"/>
      <c r="BL51" s="87" t="str">
        <f aca="false">IF(group_round_completed,VLOOKUP('3rd places'!D3,AK80:AS91,9,FALSE()),"3rd Group C/E/F/H/I")</f>
        <v>3rd Group C/E/F/H/I</v>
      </c>
      <c r="BM51" s="88"/>
      <c r="BN51" s="89"/>
      <c r="BO51" s="90"/>
      <c r="BP51" s="91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/>
      <c r="G52" s="69"/>
      <c r="H52" s="70" t="str">
        <f aca="false">AE75</f>
        <v>Croatia</v>
      </c>
      <c r="J52" s="79" t="str">
        <f aca="false">VLOOKUP(2,AD50:AN53,2,FALSE())</f>
        <v>Uruguay</v>
      </c>
      <c r="K52" s="80" t="n">
        <f aca="false">L52+M52+N52</f>
        <v>2</v>
      </c>
      <c r="L52" s="80" t="n">
        <f aca="false">VLOOKUP(2,AD50:AN53,3,FALSE())</f>
        <v>0</v>
      </c>
      <c r="M52" s="80" t="n">
        <f aca="false">VLOOKUP(2,AD50:AN53,4,FALSE())</f>
        <v>2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3 - 3</v>
      </c>
      <c r="P52" s="81" t="n">
        <f aca="false">L52*3+M52</f>
        <v>2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1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1</v>
      </c>
      <c r="AO52" s="42" t="n">
        <f aca="false">AN52/AN54*10+BA52</f>
        <v>2</v>
      </c>
      <c r="AP52" s="42" t="n">
        <f aca="false">AO52*10000000+BI52*100+AM52/AM54*10+AI52/AI54*1++IF(AQ52=0,ROW(),AQ52)/2000000</f>
        <v>20000000.2007107</v>
      </c>
      <c r="AQ52" s="46" t="n">
        <f aca="false">VLOOKUP(AE52,db_fifarank,2,FALSE())</f>
        <v>1421.43</v>
      </c>
      <c r="AR52" s="45" t="n">
        <f aca="false">AP52/AP54</f>
        <v>0.249999969103178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/>
      </c>
      <c r="BT52" s="84"/>
      <c r="BU52" s="85"/>
      <c r="BV52" s="86"/>
      <c r="BW52" s="99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/>
      <c r="G53" s="69"/>
      <c r="H53" s="70" t="str">
        <f aca="false">AE70</f>
        <v>Uzbekistan</v>
      </c>
      <c r="J53" s="79" t="str">
        <f aca="false">VLOOKUP(3,AD50:AN53,2,FALSE())</f>
        <v>Cape Verde</v>
      </c>
      <c r="K53" s="80" t="n">
        <f aca="false">L53+M53+N53</f>
        <v>2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0</v>
      </c>
      <c r="O53" s="80" t="str">
        <f aca="false">VLOOKUP(3,AD50:AN53,6,FALSE()) &amp; " - " &amp; VLOOKUP(3,AD50:AN53,7,FALSE())</f>
        <v>2 - 2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2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3</v>
      </c>
      <c r="AL53" s="42" t="n">
        <f aca="false">AI53-AJ53</f>
        <v>0</v>
      </c>
      <c r="AM53" s="42" t="n">
        <f aca="false">AL53-AL54</f>
        <v>4</v>
      </c>
      <c r="AN53" s="42" t="n">
        <f aca="false">AF53*3+AG53</f>
        <v>2</v>
      </c>
      <c r="AO53" s="42" t="n">
        <f aca="false">AN53/AN54*10+BA53</f>
        <v>4.98064516129032</v>
      </c>
      <c r="AP53" s="42" t="n">
        <f aca="false">AO53*10000000+BI53*100+AM53/AM54*10+AI53/AI54*1++IF(AQ53=0,ROW(),AQ53)/2000000</f>
        <v>49806554.7227003</v>
      </c>
      <c r="AQ53" s="46" t="n">
        <f aca="false">VLOOKUP(AE53,db_fifarank,2,FALSE())</f>
        <v>1673.07</v>
      </c>
      <c r="AR53" s="45" t="n">
        <f aca="false">AP53/AP54</f>
        <v>0.6225818508426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2</v>
      </c>
      <c r="AW53" s="46" t="n">
        <f aca="false" t="array" ref="AW53:AW53">SUMPRODUCT(($E$7:$E$78=AE53)*($U$7:$U$78)*($G$7:$G$78))+SUMPRODUCT(($H$7:$H$78=AE53)*($U$7:$U$78)*($F$7:$F$78))</f>
        <v>2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50.6666666666667</v>
      </c>
      <c r="BA53" s="46" t="n">
        <f aca="false">AZ53/AZ54</f>
        <v>0.980645161290323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2</v>
      </c>
      <c r="BE53" s="46" t="n">
        <f aca="false" t="array" ref="BE53:BE53">SUMPRODUCT(($E$7:$E$78=AE53)*($X$7:$X$78)*($G$7:$G$78))+SUMPRODUCT(($H$7:$H$78=AE53)*($X$7:$X$78)*($F$7:$F$78))</f>
        <v>2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50.6666666666667</v>
      </c>
      <c r="BI53" s="46" t="n">
        <f aca="false">BH53/BH54</f>
        <v>0.980645161290323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/>
      <c r="G54" s="69"/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2</v>
      </c>
      <c r="L54" s="94" t="n">
        <f aca="false">VLOOKUP(4,AD50:AN53,3,FALSE())</f>
        <v>0</v>
      </c>
      <c r="M54" s="94" t="n">
        <f aca="false">VLOOKUP(4,AD50:AN53,4,FALSE())</f>
        <v>1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1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2</v>
      </c>
      <c r="AG54" s="42" t="n">
        <f aca="false">MAX(AG50:AG53)-MIN(AG50:AG53)+1</f>
        <v>2</v>
      </c>
      <c r="AH54" s="42" t="n">
        <f aca="false">MAX(AH50:AH53)-MIN(AH50:AH53)+1</f>
        <v>2</v>
      </c>
      <c r="AI54" s="42" t="n">
        <f aca="false">MAX(AI50:AI53)+1</f>
        <v>5</v>
      </c>
      <c r="AL54" s="42" t="n">
        <f aca="false">MIN(AL50:AL53)</f>
        <v>-4</v>
      </c>
      <c r="AM54" s="42" t="n">
        <f aca="false">MAX(AM50:AM53)+1</f>
        <v>9</v>
      </c>
      <c r="AN54" s="42" t="n">
        <f aca="false">MAX(AN50:AN53)+1</f>
        <v>5</v>
      </c>
      <c r="AO54" s="42" t="n">
        <f aca="false">MAX(AO50:AO53)+1</f>
        <v>9</v>
      </c>
      <c r="AP54" s="42" t="n">
        <f aca="false">MAX(AP50:AP53)+1</f>
        <v>80000010.6898271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3</v>
      </c>
      <c r="AW54" s="46" t="n">
        <f aca="false">MAX(AW50:AW53)-MIN(AW50:AW53)+1</f>
        <v>3</v>
      </c>
      <c r="AY54" s="46" t="n">
        <f aca="false">MAX(AY50:AY53)-MIN(AY50:AY53)+1</f>
        <v>1</v>
      </c>
      <c r="AZ54" s="46" t="n">
        <f aca="false">MAX(AZ50:AZ53)+1</f>
        <v>51.6666666666667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3</v>
      </c>
      <c r="BE54" s="46" t="n">
        <f aca="false">MAX(BE50:BE53)-MIN(BE50:BE53)+1</f>
        <v>3</v>
      </c>
      <c r="BG54" s="46" t="n">
        <f aca="false">MAX(BG50:BG53)-MIN(BG50:BG53)+1</f>
        <v>1</v>
      </c>
      <c r="BH54" s="46" t="n">
        <f aca="false">MAX(BH50:BH53)+1</f>
        <v>51.6666666666667</v>
      </c>
      <c r="BK54" s="82" t="n">
        <v>80</v>
      </c>
      <c r="BL54" s="83" t="str">
        <f aca="false">AS74</f>
        <v>1L</v>
      </c>
      <c r="BM54" s="84"/>
      <c r="BN54" s="85"/>
      <c r="BO54" s="86"/>
      <c r="BP54" s="99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2"/>
      <c r="BL55" s="87" t="str">
        <f aca="false">IF(group_round_completed,VLOOKUP('3rd places'!K3,AK80:AS91,9,FALSE()),"3rd Group E/H/I/J/K")</f>
        <v>3rd Group E/H/I/J/K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9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2</v>
      </c>
      <c r="AE56" s="44" t="str">
        <f aca="false">VLOOKUP("France",T,lang,FALSE())</f>
        <v>France</v>
      </c>
      <c r="AF56" s="42" t="n">
        <f aca="false">COUNTIF($S$7:$T$78,"=" &amp; AE56 &amp; "_win")</f>
        <v>2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4</v>
      </c>
      <c r="AJ56" s="42" t="n">
        <f aca="false">SUMIF($E$7:$E$78,$AE56,$G$7:$G$78) + SUMIF($H$7:$H$78,$AE56,$F$7:$F$78)</f>
        <v>1</v>
      </c>
      <c r="AL56" s="42" t="n">
        <f aca="false">AI56-AJ56</f>
        <v>3</v>
      </c>
      <c r="AM56" s="42" t="n">
        <f aca="false">AL56-AL60</f>
        <v>7</v>
      </c>
      <c r="AN56" s="42" t="n">
        <f aca="false">AF56*3+AG56</f>
        <v>6</v>
      </c>
      <c r="AO56" s="42" t="n">
        <f aca="false">AN56/AN60*10+BA56</f>
        <v>8.57142857142857</v>
      </c>
      <c r="AP56" s="42" t="n">
        <f aca="false">AO56*10000000+BI56*100+AM56/AM60*10+AI56/AI60*1++IF(AQ56=0,ROW(),AQ56)/2000000</f>
        <v>85714293.9930022</v>
      </c>
      <c r="AQ56" s="46" t="n">
        <f aca="false">VLOOKUP(AE56,db_fifarank,2,FALSE())</f>
        <v>1877.32</v>
      </c>
      <c r="AR56" s="45" t="n">
        <f aca="false">AP56/AP60</f>
        <v>0.999999970997278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/>
      <c r="G57" s="69"/>
      <c r="H57" s="70" t="str">
        <f aca="false">AE14</f>
        <v>Canada</v>
      </c>
      <c r="I57" s="104"/>
      <c r="J57" s="75" t="str">
        <f aca="false">VLOOKUP(1,AD56:AN59,2,FALSE())</f>
        <v>Norway</v>
      </c>
      <c r="K57" s="76" t="n">
        <f aca="false">L57+M57+N57</f>
        <v>2</v>
      </c>
      <c r="L57" s="76" t="n">
        <f aca="false">VLOOKUP(1,AD56:AN59,3,FALSE())</f>
        <v>2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7 - 3</v>
      </c>
      <c r="P57" s="77" t="n">
        <f aca="false">L57*3+M57</f>
        <v>6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3</v>
      </c>
      <c r="AJ57" s="42" t="n">
        <f aca="false">SUMIF($E$7:$E$78,$AE57,$G$7:$G$78) + SUMIF($H$7:$H$78,$AE57,$F$7:$F$78)</f>
        <v>6</v>
      </c>
      <c r="AL57" s="42" t="n">
        <f aca="false">AI57-AJ57</f>
        <v>-3</v>
      </c>
      <c r="AM57" s="42" t="n">
        <f aca="false">AL57-AL60</f>
        <v>1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1.48695560611111</v>
      </c>
      <c r="AQ57" s="46" t="n">
        <f aca="false">VLOOKUP(AE57,db_fifarank,2,FALSE())</f>
        <v>1688.99</v>
      </c>
      <c r="AR57" s="45" t="n">
        <f aca="false">AP57/AP60</f>
        <v>1.73478132259568E-008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1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/>
      <c r="G58" s="69"/>
      <c r="H58" s="70" t="str">
        <f aca="false">AE16</f>
        <v>Qatar</v>
      </c>
      <c r="I58" s="104"/>
      <c r="J58" s="79" t="str">
        <f aca="false">VLOOKUP(2,AD56:AN59,2,FALSE())</f>
        <v>France</v>
      </c>
      <c r="K58" s="80" t="n">
        <f aca="false">L58+M58+N58</f>
        <v>2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0</v>
      </c>
      <c r="O58" s="80" t="str">
        <f aca="false">VLOOKUP(2,AD56:AN59,6,FALSE()) &amp; " - " &amp; VLOOKUP(2,AD56:AN59,7,FALSE())</f>
        <v>4 - 1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2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5</v>
      </c>
      <c r="AL58" s="42" t="n">
        <f aca="false">AI58-AJ58</f>
        <v>-4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0.12572357</v>
      </c>
      <c r="AQ58" s="46" t="n">
        <f aca="false">VLOOKUP(AE58,db_fifarank,2,FALSE())</f>
        <v>1447.14</v>
      </c>
      <c r="AR58" s="45" t="n">
        <f aca="false">AP58/AP60</f>
        <v>1.46677479912439E-009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1J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/>
      <c r="G59" s="69"/>
      <c r="H59" s="70" t="str">
        <f aca="false">AE8</f>
        <v>Mexico</v>
      </c>
      <c r="I59" s="104"/>
      <c r="J59" s="79" t="str">
        <f aca="false">VLOOKUP(3,AD56:AN59,2,FALSE())</f>
        <v>Senegal</v>
      </c>
      <c r="K59" s="80" t="n">
        <f aca="false">L59+M59+N59</f>
        <v>2</v>
      </c>
      <c r="L59" s="80" t="n">
        <f aca="false">VLOOKUP(3,AD56:AN59,3,FALSE())</f>
        <v>0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3 - 6</v>
      </c>
      <c r="P59" s="81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1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7</v>
      </c>
      <c r="AJ59" s="42" t="n">
        <f aca="false">SUMIF($E$7:$E$78,$AE59,$G$7:$G$78) + SUMIF($H$7:$H$78,$AE59,$F$7:$F$78)</f>
        <v>3</v>
      </c>
      <c r="AL59" s="42" t="n">
        <f aca="false">AI59-AJ59</f>
        <v>4</v>
      </c>
      <c r="AM59" s="42" t="n">
        <f aca="false">AL59-AL60</f>
        <v>8</v>
      </c>
      <c r="AN59" s="42" t="n">
        <f aca="false">AF59*3+AG59</f>
        <v>6</v>
      </c>
      <c r="AO59" s="42" t="n">
        <f aca="false">AN59/AN60*10+BA59</f>
        <v>8.57142857142857</v>
      </c>
      <c r="AP59" s="42" t="n">
        <f aca="false">AO59*10000000+BI59*100+AM59/AM60*10+AI59/AI60*1++IF(AQ59=0,ROW(),AQ59)/2000000</f>
        <v>85714295.4789501</v>
      </c>
      <c r="AQ59" s="46" t="n">
        <f aca="false">VLOOKUP(AE59,db_fifarank,2,FALSE())</f>
        <v>1550.94</v>
      </c>
      <c r="AR59" s="45" t="n">
        <f aca="false">AP59/AP60</f>
        <v>0.999999988333335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2H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/>
      <c r="G60" s="69"/>
      <c r="H60" s="70" t="str">
        <f aca="false">AE10</f>
        <v>Korea Republic</v>
      </c>
      <c r="I60" s="104"/>
      <c r="J60" s="93" t="str">
        <f aca="false">VLOOKUP(4,AD56:AN59,2,FALSE())</f>
        <v>Iraq</v>
      </c>
      <c r="K60" s="94" t="n">
        <f aca="false">L60+M60+N60</f>
        <v>2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2</v>
      </c>
      <c r="O60" s="94" t="str">
        <f aca="false">VLOOKUP(4,AD56:AN59,6,FALSE()) &amp; " - " &amp; VLOOKUP(4,AD56:AN59,7,FALSE())</f>
        <v>1 - 5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3</v>
      </c>
      <c r="AG60" s="42" t="n">
        <f aca="false">MAX(AG56:AG59)-MIN(AG56:AG59)+1</f>
        <v>1</v>
      </c>
      <c r="AH60" s="42" t="n">
        <f aca="false">MAX(AH56:AH59)-MIN(AH56:AH59)+1</f>
        <v>3</v>
      </c>
      <c r="AI60" s="42" t="n">
        <f aca="false">MAX(AI56:AI59)+1</f>
        <v>8</v>
      </c>
      <c r="AL60" s="42" t="n">
        <f aca="false">MIN(AL56:AL59)</f>
        <v>-4</v>
      </c>
      <c r="AM60" s="42" t="n">
        <f aca="false">MAX(AM56:AM59)+1</f>
        <v>9</v>
      </c>
      <c r="AN60" s="42" t="n">
        <f aca="false">MAX(AN56:AN59)+1</f>
        <v>7</v>
      </c>
      <c r="AO60" s="42" t="n">
        <f aca="false">MAX(AO56:AO59)+1</f>
        <v>9.57142857142857</v>
      </c>
      <c r="AP60" s="42" t="n">
        <f aca="false">MAX(AP56:AP59)+1</f>
        <v>85714296.4789501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2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5</v>
      </c>
      <c r="AJ62" s="42" t="n">
        <f aca="false">SUMIF($E$7:$E$78,$AE62,$G$7:$G$78) + SUMIF($H$7:$H$78,$AE62,$F$7:$F$78)</f>
        <v>0</v>
      </c>
      <c r="AL62" s="42" t="n">
        <f aca="false">AI62-AJ62</f>
        <v>5</v>
      </c>
      <c r="AM62" s="42" t="n">
        <f aca="false">AL62-AL66</f>
        <v>8</v>
      </c>
      <c r="AN62" s="42" t="n">
        <f aca="false">AF62*3+AG62</f>
        <v>6</v>
      </c>
      <c r="AO62" s="42" t="n">
        <f aca="false">AN62/AN66*10+BA62</f>
        <v>8.57142857142857</v>
      </c>
      <c r="AP62" s="42" t="n">
        <f aca="false">AO62*10000000+BI62*100+AM62/AM66*10+AI62/AI66*1++IF(AQ62=0,ROW(),AQ62)/2000000</f>
        <v>85714295.4374454</v>
      </c>
      <c r="AQ62" s="46" t="n">
        <f aca="false">VLOOKUP(AE62,db_fifarank,2,FALSE())</f>
        <v>1874.82</v>
      </c>
      <c r="AR62" s="45" t="n">
        <f aca="false">AP62/AP66</f>
        <v>0.999999988333335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2D</v>
      </c>
      <c r="BM62" s="84"/>
      <c r="BN62" s="85"/>
      <c r="BO62" s="86"/>
      <c r="BP62" s="99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2</v>
      </c>
      <c r="L63" s="76" t="n">
        <f aca="false">VLOOKUP(1,AD62:AN65,3,FALSE())</f>
        <v>2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5 - 0</v>
      </c>
      <c r="P63" s="77" t="n">
        <f aca="false">L63*3+M63</f>
        <v>6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0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2</v>
      </c>
      <c r="AJ63" s="42" t="n">
        <f aca="false">SUMIF($E$7:$E$78,$AE63,$G$7:$G$78) + SUMIF($H$7:$H$78,$AE63,$F$7:$F$78)</f>
        <v>4</v>
      </c>
      <c r="AL63" s="42" t="n">
        <f aca="false">AI63-AJ63</f>
        <v>-2</v>
      </c>
      <c r="AM63" s="42" t="n">
        <f aca="false">AL63-AL66</f>
        <v>1</v>
      </c>
      <c r="AN63" s="42" t="n">
        <f aca="false">AF63*3+AG63</f>
        <v>3</v>
      </c>
      <c r="AO63" s="42" t="n">
        <f aca="false">AN63/AN66*10+BA63</f>
        <v>4.28571428571429</v>
      </c>
      <c r="AP63" s="42" t="n">
        <f aca="false">AO63*10000000+BI63*100+AM63/AM66*10+AI63/AI66*1++IF(AQ63=0,ROW(),AQ63)/2000000</f>
        <v>42857144.3023694</v>
      </c>
      <c r="AQ63" s="46" t="n">
        <f aca="false">VLOOKUP(AE63,db_fifarank,2,FALSE())</f>
        <v>1564.26</v>
      </c>
      <c r="AR63" s="45" t="n">
        <f aca="false">AP63/AP66</f>
        <v>0.499999954309218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2"/>
      <c r="BL63" s="87" t="str">
        <f aca="false">AS45</f>
        <v>2G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/>
      <c r="G64" s="69"/>
      <c r="H64" s="70" t="str">
        <f aca="false">AE38</f>
        <v>Netherlands</v>
      </c>
      <c r="I64" s="104"/>
      <c r="J64" s="79" t="str">
        <f aca="false">VLOOKUP(2,AD62:AN65,2,FALSE())</f>
        <v>Austria</v>
      </c>
      <c r="K64" s="80" t="n">
        <f aca="false">L64+M64+N64</f>
        <v>2</v>
      </c>
      <c r="L64" s="80" t="n">
        <f aca="false">VLOOKUP(2,AD62:AN65,3,FALSE())</f>
        <v>1</v>
      </c>
      <c r="M64" s="80" t="n">
        <f aca="false">VLOOKUP(2,AD62:AN65,4,FALSE())</f>
        <v>0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3 - 3</v>
      </c>
      <c r="P64" s="81" t="n">
        <f aca="false">L64*3+M64</f>
        <v>3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0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3</v>
      </c>
      <c r="AJ64" s="42" t="n">
        <f aca="false">SUMIF($E$7:$E$78,$AE64,$G$7:$G$78) + SUMIF($H$7:$H$78,$AE64,$F$7:$F$78)</f>
        <v>3</v>
      </c>
      <c r="AL64" s="42" t="n">
        <f aca="false">AI64-AJ64</f>
        <v>0</v>
      </c>
      <c r="AM64" s="42" t="n">
        <f aca="false">AL64-AL66</f>
        <v>3</v>
      </c>
      <c r="AN64" s="42" t="n">
        <f aca="false">AF64*3+AG64</f>
        <v>3</v>
      </c>
      <c r="AO64" s="42" t="n">
        <f aca="false">AN64/AN66*10+BA64</f>
        <v>4.28571428571429</v>
      </c>
      <c r="AP64" s="42" t="n">
        <f aca="false">AO64*10000000+BI64*100+AM64/AM66*10+AI64/AI66*1++IF(AQ64=0,ROW(),AQ64)/2000000</f>
        <v>42857146.6912729</v>
      </c>
      <c r="AQ64" s="46" t="n">
        <f aca="false">VLOOKUP(AE64,db_fifarank,2,FALSE())</f>
        <v>1593.45</v>
      </c>
      <c r="AR64" s="45" t="n">
        <f aca="false">AP64/AP66</f>
        <v>0.499999982179755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9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/>
      <c r="G65" s="69"/>
      <c r="H65" s="70" t="str">
        <f aca="false">AE26</f>
        <v>United States</v>
      </c>
      <c r="I65" s="104"/>
      <c r="J65" s="79" t="str">
        <f aca="false">VLOOKUP(3,AD62:AN65,2,FALSE())</f>
        <v>Algeria</v>
      </c>
      <c r="K65" s="80" t="n">
        <f aca="false">L65+M65+N65</f>
        <v>2</v>
      </c>
      <c r="L65" s="80" t="n">
        <f aca="false">VLOOKUP(3,AD62:AN65,3,FALSE())</f>
        <v>1</v>
      </c>
      <c r="M65" s="80" t="n">
        <f aca="false">VLOOKUP(3,AD62:AN65,4,FALSE())</f>
        <v>0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2 - 4</v>
      </c>
      <c r="P65" s="81" t="n">
        <f aca="false">L65*3+M65</f>
        <v>3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2</v>
      </c>
      <c r="AI65" s="42" t="n">
        <f aca="false">SUMIF($E$7:$E$78,$AE65,$F$7:$F$78) + SUMIF($H$7:$H$78,$AE65,$G$7:$G$78)</f>
        <v>2</v>
      </c>
      <c r="AJ65" s="42" t="n">
        <f aca="false">SUMIF($E$7:$E$78,$AE65,$G$7:$G$78) + SUMIF($H$7:$H$78,$AE65,$F$7:$F$78)</f>
        <v>5</v>
      </c>
      <c r="AL65" s="42" t="n">
        <f aca="false">AI65-AJ65</f>
        <v>-3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3.89700519302645E-009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/>
      <c r="G66" s="69"/>
      <c r="H66" s="70" t="str">
        <f aca="false">AE28</f>
        <v>Australia</v>
      </c>
      <c r="I66" s="104"/>
      <c r="J66" s="93" t="str">
        <f aca="false">VLOOKUP(4,AD62:AN65,2,FALSE())</f>
        <v>Jordan</v>
      </c>
      <c r="K66" s="94" t="n">
        <f aca="false">L66+M66+N66</f>
        <v>2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2</v>
      </c>
      <c r="O66" s="94" t="str">
        <f aca="false">VLOOKUP(4,AD62:AN65,6,FALSE()) &amp; " - " &amp; VLOOKUP(4,AD62:AN65,7,FALSE())</f>
        <v>2 - 5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3</v>
      </c>
      <c r="AG66" s="42" t="n">
        <f aca="false">MAX(AG62:AG65)-MIN(AG62:AG65)+1</f>
        <v>1</v>
      </c>
      <c r="AH66" s="42" t="n">
        <f aca="false">MAX(AH62:AH65)-MIN(AH62:AH65)+1</f>
        <v>3</v>
      </c>
      <c r="AI66" s="42" t="n">
        <f aca="false">MAX(AI62:AI65)+1</f>
        <v>6</v>
      </c>
      <c r="AL66" s="42" t="n">
        <f aca="false">MIN(AL62:AL65)</f>
        <v>-3</v>
      </c>
      <c r="AM66" s="42" t="n">
        <f aca="false">MAX(AM62:AM65)+1</f>
        <v>9</v>
      </c>
      <c r="AN66" s="42" t="n">
        <f aca="false">MAX(AN62:AN65)+1</f>
        <v>7</v>
      </c>
      <c r="AO66" s="42" t="n">
        <f aca="false">MAX(AO62:AO65)+1</f>
        <v>9.57142857142857</v>
      </c>
      <c r="AP66" s="42" t="n">
        <f aca="false">MAX(AP62:AP65)+1</f>
        <v>85714296.4374454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2" t="n">
        <v>85</v>
      </c>
      <c r="BL66" s="83" t="str">
        <f aca="false">AS14</f>
        <v>1B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2"/>
      <c r="BL67" s="87" t="str">
        <f aca="false">IF(group_round_completed,VLOOKUP('3rd places'!E3,AK80:AS91,9,FALSE()),"3rd Group E/F/G/I/J")</f>
        <v>3rd Group E/F/G/I/J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1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1</v>
      </c>
      <c r="AJ68" s="42" t="n">
        <f aca="false">SUMIF($E$7:$E$78,$AE68,$G$7:$G$78) + SUMIF($H$7:$H$78,$AE68,$F$7:$F$78)</f>
        <v>1</v>
      </c>
      <c r="AL68" s="42" t="n">
        <f aca="false">AI68-AJ68</f>
        <v>0</v>
      </c>
      <c r="AM68" s="42" t="n">
        <f aca="false">AL68-AL72</f>
        <v>2</v>
      </c>
      <c r="AN68" s="42" t="n">
        <f aca="false">AF68*3+AG68</f>
        <v>1</v>
      </c>
      <c r="AO68" s="42" t="n">
        <f aca="false">AN68/AN72*10+BA68</f>
        <v>3.48058252427184</v>
      </c>
      <c r="AP68" s="42" t="n">
        <f aca="false">AO68*10000000+BI68*100+AM68/AM72*10+AI68/AI72*1++IF(AQ68=0,ROW(),AQ68)/2000000</f>
        <v>34805927.5518528</v>
      </c>
      <c r="AQ68" s="46" t="n">
        <f aca="false">VLOOKUP(AE68,db_fifarank,2,FALSE())</f>
        <v>1763.83</v>
      </c>
      <c r="AR68" s="45" t="n">
        <f aca="false">AP68/AP72</f>
        <v>0.464078973689199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1</v>
      </c>
      <c r="AV68" s="46" t="n">
        <f aca="false" t="array" ref="AV68:AV68">SUMPRODUCT(($E$7:$E$78=AE68)*($U$7:$U$78)*($F$7:$F$78))+SUMPRODUCT(($H$7:$H$78=AE68)*($U$7:$U$78)*($G$7:$G$78))</f>
        <v>1</v>
      </c>
      <c r="AW68" s="46" t="n">
        <f aca="false" t="array" ref="AW68:AW68">SUMPRODUCT(($E$7:$E$78=AE68)*($U$7:$U$78)*($G$7:$G$78))+SUMPRODUCT(($H$7:$H$78=AE68)*($U$7:$U$78)*($F$7:$F$78))</f>
        <v>1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50.5</v>
      </c>
      <c r="BA68" s="46" t="n">
        <f aca="false">AZ68/AZ72</f>
        <v>0.980582524271845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1</v>
      </c>
      <c r="BD68" s="46" t="n">
        <f aca="false" t="array" ref="BD68:BD68">SUMPRODUCT(($E$7:$E$78=AE68)*($X$7:$X$78)*($F$7:$F$78))+SUMPRODUCT(($H$7:$H$78=AE68)*($X$7:$X$78)*($G$7:$G$78))</f>
        <v>1</v>
      </c>
      <c r="BE68" s="46" t="n">
        <f aca="false" t="array" ref="BE68:BE68">SUMPRODUCT(($E$7:$E$78=AE68)*($X$7:$X$78)*($G$7:$G$78))+SUMPRODUCT(($H$7:$H$78=AE68)*($X$7:$X$78)*($F$7:$F$78))</f>
        <v>1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50.5</v>
      </c>
      <c r="BI68" s="46" t="n">
        <f aca="false">BH68/BH72</f>
        <v>0.980582524271845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9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/>
      <c r="G69" s="69"/>
      <c r="H69" s="70" t="str">
        <f aca="false">AE46</f>
        <v>Iran</v>
      </c>
      <c r="I69" s="104"/>
      <c r="J69" s="75" t="str">
        <f aca="false">VLOOKUP(1,AD68:AN71,2,FALSE())</f>
        <v>Colombia</v>
      </c>
      <c r="K69" s="76" t="n">
        <f aca="false">L69+M69+N69</f>
        <v>1</v>
      </c>
      <c r="L69" s="76" t="n">
        <f aca="false">VLOOKUP(1,AD68:AN71,3,FALSE())</f>
        <v>1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3 - 1</v>
      </c>
      <c r="P69" s="77" t="n">
        <f aca="false">L69*3+M69</f>
        <v>3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1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1</v>
      </c>
      <c r="AJ69" s="42" t="n">
        <f aca="false">SUMIF($E$7:$E$78,$AE69,$G$7:$G$78) + SUMIF($H$7:$H$78,$AE69,$F$7:$F$78)</f>
        <v>1</v>
      </c>
      <c r="AL69" s="42" t="n">
        <f aca="false">AI69-AJ69</f>
        <v>0</v>
      </c>
      <c r="AM69" s="42" t="n">
        <f aca="false">AL69-AL72</f>
        <v>2</v>
      </c>
      <c r="AN69" s="42" t="n">
        <f aca="false">AF69*3+AG69</f>
        <v>1</v>
      </c>
      <c r="AO69" s="42" t="n">
        <f aca="false">AN69/AN72*10+BA69</f>
        <v>3.48058252427184</v>
      </c>
      <c r="AP69" s="42" t="n">
        <f aca="false">AO69*10000000+BI69*100+AM69/AM72*10+AI69/AI72*1++IF(AQ69=0,ROW(),AQ69)/2000000</f>
        <v>34805927.55171</v>
      </c>
      <c r="AQ69" s="46" t="n">
        <f aca="false">VLOOKUP(AE69,db_fifarank,2,FALSE())</f>
        <v>1478.35</v>
      </c>
      <c r="AR69" s="45" t="n">
        <f aca="false">AP69/AP72</f>
        <v>0.464078973687296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1</v>
      </c>
      <c r="AV69" s="46" t="n">
        <f aca="false" t="array" ref="AV69:AV69">SUMPRODUCT(($E$7:$E$78=AE69)*($U$7:$U$78)*($F$7:$F$78))+SUMPRODUCT(($H$7:$H$78=AE69)*($U$7:$U$78)*($G$7:$G$78))</f>
        <v>1</v>
      </c>
      <c r="AW69" s="46" t="n">
        <f aca="false" t="array" ref="AW69:AW69">SUMPRODUCT(($E$7:$E$78=AE69)*($U$7:$U$78)*($G$7:$G$78))+SUMPRODUCT(($H$7:$H$78=AE69)*($U$7:$U$78)*($F$7:$F$78))</f>
        <v>1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50.5</v>
      </c>
      <c r="BA69" s="46" t="n">
        <f aca="false">AZ69/AZ72</f>
        <v>0.980582524271845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1</v>
      </c>
      <c r="BD69" s="46" t="n">
        <f aca="false" t="array" ref="BD69:BD69">SUMPRODUCT(($E$7:$E$78=AE69)*($X$7:$X$78)*($F$7:$F$78))+SUMPRODUCT(($H$7:$H$78=AE69)*($X$7:$X$78)*($G$7:$G$78))</f>
        <v>1</v>
      </c>
      <c r="BE69" s="46" t="n">
        <f aca="false" t="array" ref="BE69:BE69">SUMPRODUCT(($E$7:$E$78=AE69)*($X$7:$X$78)*($G$7:$G$78))+SUMPRODUCT(($H$7:$H$78=AE69)*($X$7:$X$78)*($F$7:$F$78))</f>
        <v>1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50.5</v>
      </c>
      <c r="BI69" s="46" t="n">
        <f aca="false">BH69/BH72</f>
        <v>0.980582524271845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/>
      <c r="G70" s="69"/>
      <c r="H70" s="70" t="str">
        <f aca="false">AE44</f>
        <v>Belgium</v>
      </c>
      <c r="I70" s="104"/>
      <c r="J70" s="79" t="str">
        <f aca="false">VLOOKUP(2,AD68:AN71,2,FALSE())</f>
        <v>Portugal</v>
      </c>
      <c r="K70" s="80" t="n">
        <f aca="false">L70+M70+N70</f>
        <v>1</v>
      </c>
      <c r="L70" s="80" t="n">
        <f aca="false">VLOOKUP(2,AD68:AN71,3,FALSE())</f>
        <v>0</v>
      </c>
      <c r="M70" s="80" t="n">
        <f aca="false">VLOOKUP(2,AD68:AN71,4,FALSE())</f>
        <v>1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1 - 1</v>
      </c>
      <c r="P70" s="81" t="n">
        <f aca="false">L70*3+M70</f>
        <v>1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1</v>
      </c>
      <c r="AI70" s="42" t="n">
        <f aca="false">SUMIF($E$7:$E$78,$AE70,$F$7:$F$78) + SUMIF($H$7:$H$78,$AE70,$G$7:$G$78)</f>
        <v>1</v>
      </c>
      <c r="AJ70" s="42" t="n">
        <f aca="false">SUMIF($E$7:$E$78,$AE70,$G$7:$G$78) + SUMIF($H$7:$H$78,$AE70,$F$7:$F$78)</f>
        <v>3</v>
      </c>
      <c r="AL70" s="42" t="n">
        <f aca="false">AI70-AJ70</f>
        <v>-2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0.25073267</v>
      </c>
      <c r="AQ70" s="46" t="n">
        <f aca="false">VLOOKUP(AE70,db_fifarank,2,FALSE())</f>
        <v>1465.34</v>
      </c>
      <c r="AR70" s="45" t="n">
        <f aca="false">AP70/AP72</f>
        <v>3.34310183202569E-009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1K</v>
      </c>
      <c r="BM70" s="84"/>
      <c r="BN70" s="85"/>
      <c r="BO70" s="86"/>
      <c r="BP70" s="99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/>
      <c r="G71" s="69"/>
      <c r="H71" s="70" t="str">
        <f aca="false">AE52</f>
        <v>Saudi Arabia</v>
      </c>
      <c r="I71" s="104"/>
      <c r="J71" s="79" t="str">
        <f aca="false">VLOOKUP(3,AD68:AN71,2,FALSE())</f>
        <v>DR Congo</v>
      </c>
      <c r="K71" s="80" t="n">
        <f aca="false">L71+M71+N71</f>
        <v>1</v>
      </c>
      <c r="L71" s="80" t="n">
        <f aca="false">VLOOKUP(3,AD68:AN71,3,FALSE())</f>
        <v>0</v>
      </c>
      <c r="M71" s="80" t="n">
        <f aca="false">VLOOKUP(3,AD68:AN71,4,FALSE())</f>
        <v>1</v>
      </c>
      <c r="N71" s="80" t="n">
        <f aca="false">VLOOKUP(3,AD68:AN71,5,FALSE())</f>
        <v>0</v>
      </c>
      <c r="O71" s="80" t="str">
        <f aca="false">VLOOKUP(3,AD68:AN71,6,FALSE()) &amp; " - " &amp; VLOOKUP(3,AD68:AN71,7,FALSE())</f>
        <v>1 - 1</v>
      </c>
      <c r="P71" s="81" t="n">
        <f aca="false">L71*3+M71</f>
        <v>1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1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3</v>
      </c>
      <c r="AJ71" s="42" t="n">
        <f aca="false">SUMIF($E$7:$E$78,$AE71,$G$7:$G$78) + SUMIF($H$7:$H$78,$AE71,$F$7:$F$78)</f>
        <v>1</v>
      </c>
      <c r="AL71" s="42" t="n">
        <f aca="false">AI71-AJ71</f>
        <v>2</v>
      </c>
      <c r="AM71" s="42" t="n">
        <f aca="false">AL71-AL72</f>
        <v>4</v>
      </c>
      <c r="AN71" s="42" t="n">
        <f aca="false">AF71*3+AG71</f>
        <v>3</v>
      </c>
      <c r="AO71" s="42" t="n">
        <f aca="false">AN71/AN72*10+BA71</f>
        <v>7.5</v>
      </c>
      <c r="AP71" s="42" t="n">
        <f aca="false">AO71*10000000+BI71*100+AM71/AM72*10+AI71/AI72*1++IF(AQ71=0,ROW(),AQ71)/2000000</f>
        <v>75000008.7508466</v>
      </c>
      <c r="AQ71" s="46" t="n">
        <f aca="false">VLOOKUP(AE71,db_fifarank,2,FALSE())</f>
        <v>1693.09</v>
      </c>
      <c r="AR71" s="45" t="n">
        <f aca="false">AP71/AP72</f>
        <v>0.999999986666669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3rd Group D/E/I/J/L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/>
      <c r="G72" s="69"/>
      <c r="H72" s="70" t="str">
        <f aca="false">AE50</f>
        <v>Spain</v>
      </c>
      <c r="I72" s="104"/>
      <c r="J72" s="93" t="str">
        <f aca="false">VLOOKUP(4,AD68:AN71,2,FALSE())</f>
        <v>Uzbekistan</v>
      </c>
      <c r="K72" s="94" t="n">
        <f aca="false">L72+M72+N72</f>
        <v>1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1</v>
      </c>
      <c r="O72" s="94" t="str">
        <f aca="false">VLOOKUP(4,AD68:AN71,6,FALSE()) &amp; " - " &amp; VLOOKUP(4,AD68:AN71,7,FALSE())</f>
        <v>1 - 3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2</v>
      </c>
      <c r="AG72" s="42" t="n">
        <f aca="false">MAX(AG68:AG71)-MIN(AG68:AG71)+1</f>
        <v>2</v>
      </c>
      <c r="AH72" s="42" t="n">
        <f aca="false">MAX(AH68:AH71)-MIN(AH68:AH71)+1</f>
        <v>2</v>
      </c>
      <c r="AI72" s="42" t="n">
        <f aca="false">MAX(AI68:AI71)+1</f>
        <v>4</v>
      </c>
      <c r="AL72" s="42" t="n">
        <f aca="false">MIN(AL68:AL71)</f>
        <v>-2</v>
      </c>
      <c r="AM72" s="42" t="n">
        <f aca="false">MAX(AM68:AM71)+1</f>
        <v>5</v>
      </c>
      <c r="AN72" s="42" t="n">
        <f aca="false">MAX(AN68:AN71)+1</f>
        <v>4</v>
      </c>
      <c r="AO72" s="42" t="n">
        <f aca="false">MAX(AO68:AO71)+1</f>
        <v>8.5</v>
      </c>
      <c r="AP72" s="42" t="n">
        <f aca="false">MAX(AP68:AP71)+1</f>
        <v>75000009.7508466</v>
      </c>
      <c r="AT72" s="46" t="n">
        <f aca="false">MAX(AT68:AT71)-MIN(AT68:AT71)+1</f>
        <v>1</v>
      </c>
      <c r="AU72" s="46" t="n">
        <f aca="false">MAX(AU68:AU71)-MIN(AU68:AU71)+1</f>
        <v>2</v>
      </c>
      <c r="AV72" s="46" t="n">
        <f aca="false">MAX(AV68:AV71)-MIN(AV68:AV71)+1</f>
        <v>2</v>
      </c>
      <c r="AW72" s="46" t="n">
        <f aca="false">MAX(AW68:AW71)-MIN(AW68:AW71)+1</f>
        <v>2</v>
      </c>
      <c r="AY72" s="46" t="n">
        <f aca="false">MAX(AY68:AY71)-MIN(AY68:AY71)+1</f>
        <v>1</v>
      </c>
      <c r="AZ72" s="46" t="n">
        <f aca="false">MAX(AZ68:AZ71)+1</f>
        <v>51.5</v>
      </c>
      <c r="BB72" s="46" t="n">
        <f aca="false">MAX(BB68:BB71)-MIN(BB68:BB71)+1</f>
        <v>1</v>
      </c>
      <c r="BC72" s="46" t="n">
        <f aca="false">MAX(BC68:BC71)-MIN(BC68:BC71)+1</f>
        <v>2</v>
      </c>
      <c r="BD72" s="46" t="n">
        <f aca="false">MAX(BD68:BD71)-MIN(BD68:BD71)+1</f>
        <v>2</v>
      </c>
      <c r="BE72" s="46" t="n">
        <f aca="false">MAX(BE68:BE71)-MIN(BE68:BE71)+1</f>
        <v>2</v>
      </c>
      <c r="BG72" s="46" t="n">
        <f aca="false">MAX(BG68:BG71)-MIN(BG68:BG71)+1</f>
        <v>1</v>
      </c>
      <c r="BH72" s="46" t="n">
        <f aca="false">MAX(BH68:BH71)+1</f>
        <v>51.5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1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4</v>
      </c>
      <c r="AJ74" s="42" t="n">
        <f aca="false">SUMIF($E$7:$E$78,$AE74,$G$7:$G$78) + SUMIF($H$7:$H$78,$AE74,$F$7:$F$78)</f>
        <v>2</v>
      </c>
      <c r="AL74" s="42" t="n">
        <f aca="false">AI74-AJ74</f>
        <v>2</v>
      </c>
      <c r="AM74" s="42" t="n">
        <f aca="false">AL74-AL78</f>
        <v>4</v>
      </c>
      <c r="AN74" s="42" t="n">
        <f aca="false">AF74*3+AG74</f>
        <v>3</v>
      </c>
      <c r="AO74" s="42" t="n">
        <f aca="false">AN74/AN78*10+BA74</f>
        <v>7.5</v>
      </c>
      <c r="AP74" s="42" t="n">
        <f aca="false">AO74*10000000+BI74*100+AM74/AM78*10+AI74/AI78*1++IF(AQ74=0,ROW(),AQ74)/2000000</f>
        <v>75000008.800913</v>
      </c>
      <c r="AQ74" s="46" t="n">
        <f aca="false">VLOOKUP(AE74,db_fifarank,2,FALSE())</f>
        <v>1825.97</v>
      </c>
      <c r="AR74" s="45" t="n">
        <f aca="false">AP74/AP78</f>
        <v>0.999999986666669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1</v>
      </c>
      <c r="L75" s="76" t="n">
        <f aca="false">VLOOKUP(1,AD74:AN77,3,FALSE())</f>
        <v>1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4 - 2</v>
      </c>
      <c r="P75" s="77" t="n">
        <f aca="false">L75*3+M75</f>
        <v>3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4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2</v>
      </c>
      <c r="AJ75" s="42" t="n">
        <f aca="false">SUMIF($E$7:$E$78,$AE75,$G$7:$G$78) + SUMIF($H$7:$H$78,$AE75,$F$7:$F$78)</f>
        <v>4</v>
      </c>
      <c r="AL75" s="42" t="n">
        <f aca="false">AI75-AJ75</f>
        <v>-2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0.400858535</v>
      </c>
      <c r="AQ75" s="46" t="n">
        <f aca="false">VLOOKUP(AE75,db_fifarank,2,FALSE())</f>
        <v>1717.07</v>
      </c>
      <c r="AR75" s="45" t="n">
        <f aca="false">AP75/AP78</f>
        <v>5.34477976821705E-009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/>
      <c r="G76" s="69"/>
      <c r="H76" s="70" t="str">
        <f aca="false">AE62</f>
        <v>Argentina</v>
      </c>
      <c r="I76" s="104"/>
      <c r="J76" s="79" t="str">
        <f aca="false">VLOOKUP(2,AD74:AN77,2,FALSE())</f>
        <v>Ghana</v>
      </c>
      <c r="K76" s="80" t="n">
        <f aca="false">L76+M76+N76</f>
        <v>1</v>
      </c>
      <c r="L76" s="80" t="n">
        <f aca="false">VLOOKUP(2,AD74:AN77,3,FALSE())</f>
        <v>1</v>
      </c>
      <c r="M76" s="80" t="n">
        <f aca="false">VLOOKUP(2,AD74:AN77,4,FALSE())</f>
        <v>0</v>
      </c>
      <c r="N76" s="80" t="n">
        <f aca="false">VLOOKUP(2,AD74:AN77,5,FALSE())</f>
        <v>0</v>
      </c>
      <c r="O76" s="80" t="str">
        <f aca="false">VLOOKUP(2,AD74:AN77,6,FALSE()) &amp; " - " &amp; VLOOKUP(2,AD74:AN77,7,FALSE())</f>
        <v>1 - 0</v>
      </c>
      <c r="P76" s="81" t="n">
        <f aca="false">L76*3+M76</f>
        <v>3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2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1</v>
      </c>
      <c r="AJ76" s="42" t="n">
        <f aca="false">SUMIF($E$7:$E$78,$AE76,$G$7:$G$78) + SUMIF($H$7:$H$78,$AE76,$F$7:$F$78)</f>
        <v>0</v>
      </c>
      <c r="AL76" s="42" t="n">
        <f aca="false">AI76-AJ76</f>
        <v>1</v>
      </c>
      <c r="AM76" s="42" t="n">
        <f aca="false">AL76-AL78</f>
        <v>3</v>
      </c>
      <c r="AN76" s="42" t="n">
        <f aca="false">AF76*3+AG76</f>
        <v>3</v>
      </c>
      <c r="AO76" s="42" t="n">
        <f aca="false">AN76/AN78*10+BA76</f>
        <v>7.5</v>
      </c>
      <c r="AP76" s="42" t="n">
        <f aca="false">AO76*10000000+BI76*100+AM76/AM78*10+AI76/AI78*1++IF(AQ76=0,ROW(),AQ76)/2000000</f>
        <v>75000006.2006732</v>
      </c>
      <c r="AQ76" s="46" t="n">
        <f aca="false">VLOOKUP(AE76,db_fifarank,2,FALSE())</f>
        <v>1346.31</v>
      </c>
      <c r="AR76" s="45" t="n">
        <f aca="false">AP76/AP78</f>
        <v>0.999999951996809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/>
      <c r="G77" s="69"/>
      <c r="H77" s="70" t="str">
        <f aca="false">AE68</f>
        <v>Portugal</v>
      </c>
      <c r="I77" s="104"/>
      <c r="J77" s="79" t="str">
        <f aca="false">VLOOKUP(3,AD74:AN77,2,FALSE())</f>
        <v>Panama</v>
      </c>
      <c r="K77" s="80" t="n">
        <f aca="false">L77+M77+N77</f>
        <v>1</v>
      </c>
      <c r="L77" s="80" t="n">
        <f aca="false">VLOOKUP(3,AD74:AN77,3,FALSE())</f>
        <v>0</v>
      </c>
      <c r="M77" s="80" t="n">
        <f aca="false">VLOOKUP(3,AD74:AN77,4,FALSE())</f>
        <v>0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0 - 1</v>
      </c>
      <c r="P77" s="81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1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1</v>
      </c>
      <c r="AL77" s="42" t="n">
        <f aca="false">AI77-AJ77</f>
        <v>-1</v>
      </c>
      <c r="AM77" s="42" t="n">
        <f aca="false">AL77-AL78</f>
        <v>1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2.00077032</v>
      </c>
      <c r="AQ77" s="46" t="n">
        <f aca="false">VLOOKUP(AE77,db_fifarank,2,FALSE())</f>
        <v>1540.64</v>
      </c>
      <c r="AR77" s="45" t="n">
        <f aca="false">AP77/AP78</f>
        <v>2.66769341138892E-008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/>
      <c r="G78" s="69"/>
      <c r="H78" s="70" t="str">
        <f aca="false">AE70</f>
        <v>Uzbekistan</v>
      </c>
      <c r="I78" s="104"/>
      <c r="J78" s="93" t="str">
        <f aca="false">VLOOKUP(4,AD74:AN77,2,FALSE())</f>
        <v>Croatia</v>
      </c>
      <c r="K78" s="94" t="n">
        <f aca="false">L78+M78+N78</f>
        <v>1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1</v>
      </c>
      <c r="O78" s="94" t="str">
        <f aca="false">VLOOKUP(4,AD74:AN77,6,FALSE()) &amp; " - " &amp; VLOOKUP(4,AD74:AN77,7,FALSE())</f>
        <v>2 - 4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2</v>
      </c>
      <c r="AG78" s="42" t="n">
        <f aca="false">MAX(AG74:AG77)-MIN(AG74:AG77)+1</f>
        <v>1</v>
      </c>
      <c r="AH78" s="42" t="n">
        <f aca="false">MAX(AH74:AH77)-MIN(AH74:AH77)+1</f>
        <v>2</v>
      </c>
      <c r="AI78" s="42" t="n">
        <f aca="false">MAX(AI74:AI77)+1</f>
        <v>5</v>
      </c>
      <c r="AL78" s="42" t="n">
        <f aca="false">MIN(AL74:AL77)</f>
        <v>-2</v>
      </c>
      <c r="AM78" s="42" t="n">
        <f aca="false">MAX(AM74:AM77)+1</f>
        <v>5</v>
      </c>
      <c r="AN78" s="42" t="n">
        <f aca="false">MAX(AN74:AN77)+1</f>
        <v>4</v>
      </c>
      <c r="AO78" s="42" t="n">
        <f aca="false">MAX(AO74:AO77)+1</f>
        <v>8.5</v>
      </c>
      <c r="AP78" s="42" t="n">
        <f aca="false">MAX(AP74:AP77)+1</f>
        <v>75000009.800913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8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1</v>
      </c>
      <c r="AH80" s="42" t="n">
        <f aca="false">VLOOKUP($AE80,$AE$8:$AQ$78,4,FALSE())</f>
        <v>1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1</v>
      </c>
      <c r="AP80" s="42" t="n">
        <f aca="false">AN80/AN92*10000+AM80/AM92*1000+AI80/AI92*100+IF(AQ80=0,ROW(),AQ80)/2000000</f>
        <v>3028.57217926143</v>
      </c>
      <c r="AQ80" s="46" t="n">
        <f aca="false">VLOOKUP($AE80,$AE$8:$AQ$78,13,FALSE())</f>
        <v>1501.38</v>
      </c>
      <c r="AR80" s="45" t="str">
        <f aca="false">IF(AD80&lt;=8,RIGHT(AK80,1),"")</f>
        <v>A</v>
      </c>
      <c r="AS80" s="114" t="str">
        <f aca="false">IF(AD80&lt;=8,AE80,"")</f>
        <v>Czech Republic</v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Sweden</v>
      </c>
      <c r="K81" s="117" t="n">
        <f aca="false">L81+M81+N81</f>
        <v>2</v>
      </c>
      <c r="L81" s="117" t="n">
        <f aca="false">VLOOKUP(1,$AD$80:$AN$91,3,FALSE())</f>
        <v>1</v>
      </c>
      <c r="M81" s="117" t="n">
        <f aca="false">VLOOKUP(1,$AD$80:$AN$91,4,FALSE())</f>
        <v>0</v>
      </c>
      <c r="N81" s="117" t="n">
        <f aca="false">VLOOKUP(1,$AD$80:$AN$91,5,FALSE())</f>
        <v>1</v>
      </c>
      <c r="O81" s="117" t="str">
        <f aca="false">VLOOKUP(1,$AD$80:$AN$91,6,FALSE()) &amp; " - " &amp; VLOOKUP(1,$AD$80:$AN$91,7,FALSE())</f>
        <v>6 - 6</v>
      </c>
      <c r="P81" s="118" t="n">
        <f aca="false">L81*3+M81</f>
        <v>3</v>
      </c>
      <c r="AD81" s="42" t="n">
        <f aca="false">COUNTIF($AP$80:$AP$91,CONCATENATE("&gt;=",AP81))</f>
        <v>10</v>
      </c>
      <c r="AE81" s="44" t="str">
        <f aca="false">J17</f>
        <v>Bosnia and Herzegovina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2</v>
      </c>
      <c r="AJ81" s="42" t="n">
        <f aca="false">VLOOKUP($AE81,$AE$8:$AQ$78,6,FALSE())</f>
        <v>5</v>
      </c>
      <c r="AK81" s="42" t="s">
        <v>3181</v>
      </c>
      <c r="AL81" s="42" t="n">
        <f aca="false">VLOOKUP($AE81,$AE$8:$AQ$78,8,FALSE())</f>
        <v>-3</v>
      </c>
      <c r="AM81" s="42" t="n">
        <f aca="false">AL81-$AL$92</f>
        <v>0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2528.57212149143</v>
      </c>
      <c r="AQ81" s="46" t="n">
        <f aca="false">VLOOKUP($AE81,$AE$8:$AQ$78,13,FALSE())</f>
        <v>1385.84</v>
      </c>
      <c r="AR81" s="45" t="str">
        <f aca="false">AR80&amp;IF(AD81&lt;=8,RIGHT(AK81,1),"")</f>
        <v>A</v>
      </c>
      <c r="AS81" s="114" t="str">
        <f aca="false">IF(AD81&lt;=8,AE81,"")</f>
        <v/>
      </c>
      <c r="AT81" s="115" t="str">
        <f aca="false">"Ⓑ "&amp;AE81</f>
        <v>Ⓑ Bosnia and Herzegovina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Scotland</v>
      </c>
      <c r="K82" s="120" t="n">
        <f aca="false">L82+M82+N82</f>
        <v>2</v>
      </c>
      <c r="L82" s="120" t="n">
        <f aca="false">VLOOKUP(2,$AD$80:$AN$91,3,FALSE())</f>
        <v>1</v>
      </c>
      <c r="M82" s="120" t="n">
        <f aca="false">VLOOKUP(2,$AD$80:$AN$91,4,FALSE())</f>
        <v>0</v>
      </c>
      <c r="N82" s="120" t="n">
        <f aca="false">VLOOKUP(2,$AD$80:$AN$91,5,FALSE())</f>
        <v>1</v>
      </c>
      <c r="O82" s="120" t="str">
        <f aca="false">VLOOKUP(2,$AD$80:$AN$91,6,FALSE()) &amp; " - " &amp; VLOOKUP(2,$AD$80:$AN$91,7,FALSE())</f>
        <v>1 - 1</v>
      </c>
      <c r="P82" s="121" t="n">
        <f aca="false">L82*3+M82</f>
        <v>3</v>
      </c>
      <c r="AD82" s="42" t="n">
        <f aca="false">COUNTIF($AP$80:$AP$91,CONCATENATE("&gt;=",AP82))</f>
        <v>2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1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3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8264.28646346071</v>
      </c>
      <c r="AQ82" s="46" t="n">
        <f aca="false">VLOOKUP($AE82,$AE$8:$AQ$78,13,FALSE())</f>
        <v>1498.35</v>
      </c>
      <c r="AR82" s="45" t="str">
        <f aca="false">AR81&amp;IF(AD82&lt;=8,RIGHT(AK82,1),"")</f>
        <v>AC</v>
      </c>
      <c r="AS82" s="114" t="str">
        <f aca="false">IF(AD82&lt;=8,AE82,"")</f>
        <v>Scotland</v>
      </c>
      <c r="AT82" s="115" t="str">
        <f aca="false">"Ⓒ "&amp;AE82</f>
        <v>Ⓒ Scotland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Ⓙ Algeria</v>
      </c>
      <c r="K83" s="120" t="n">
        <f aca="false">L83+M83+N83</f>
        <v>2</v>
      </c>
      <c r="L83" s="120" t="n">
        <f aca="false">VLOOKUP(3,$AD$80:$AN$91,3,FALSE())</f>
        <v>1</v>
      </c>
      <c r="M83" s="120" t="n">
        <f aca="false">VLOOKUP(3,$AD$80:$AN$91,4,FALSE())</f>
        <v>0</v>
      </c>
      <c r="N83" s="120" t="n">
        <f aca="false">VLOOKUP(3,$AD$80:$AN$91,5,FALSE())</f>
        <v>1</v>
      </c>
      <c r="O83" s="120" t="str">
        <f aca="false">VLOOKUP(3,$AD$80:$AN$91,6,FALSE()) &amp; " - " &amp; VLOOKUP(3,$AD$80:$AN$91,7,FALSE())</f>
        <v>2 - 4</v>
      </c>
      <c r="P83" s="121" t="n">
        <f aca="false">L83*3+M83</f>
        <v>3</v>
      </c>
      <c r="AD83" s="42" t="n">
        <f aca="false">COUNTIF($AP$80:$AP$91,CONCATENATE("&gt;=",AP83))</f>
        <v>4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3</v>
      </c>
      <c r="AP83" s="42" t="n">
        <f aca="false">AN83/AN92*10000+AM83/AM92*1000+AI83/AI92*100+IF(AQ83=0,ROW(),AQ83)/2000000</f>
        <v>7778.57218032143</v>
      </c>
      <c r="AQ83" s="46" t="n">
        <f aca="false">VLOOKUP($AE83,$AE$8:$AQ$78,13,FALSE())</f>
        <v>1503.5</v>
      </c>
      <c r="AR83" s="45" t="str">
        <f aca="false">AR82&amp;IF(AD83&lt;=8,RIGHT(AK83,1),"")</f>
        <v>ACD</v>
      </c>
      <c r="AS83" s="114" t="str">
        <f aca="false">IF(AD83&lt;=8,AE83,"")</f>
        <v>Paraguay</v>
      </c>
      <c r="AT83" s="115" t="str">
        <f aca="false">"Ⓓ "&amp;AE83</f>
        <v>Ⓓ Paraguay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Ⓓ Paraguay</v>
      </c>
      <c r="K84" s="120" t="n">
        <f aca="false">L84+M84+N84</f>
        <v>2</v>
      </c>
      <c r="L84" s="120" t="n">
        <f aca="false">VLOOKUP(4,$AD$80:$AN$91,3,FALSE())</f>
        <v>1</v>
      </c>
      <c r="M84" s="120" t="n">
        <f aca="false">VLOOKUP(4,$AD$80:$AN$91,4,FALSE())</f>
        <v>0</v>
      </c>
      <c r="N84" s="120" t="n">
        <f aca="false">VLOOKUP(4,$AD$80:$AN$91,5,FALSE())</f>
        <v>1</v>
      </c>
      <c r="O84" s="120" t="str">
        <f aca="false">VLOOKUP(4,$AD$80:$AN$91,6,FALSE()) &amp; " - " &amp; VLOOKUP(4,$AD$80:$AN$91,7,FALSE())</f>
        <v>2 - 4</v>
      </c>
      <c r="P84" s="121" t="n">
        <f aca="false">L84*3+M84</f>
        <v>3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9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2</v>
      </c>
      <c r="AN84" s="42" t="n">
        <f aca="false">VLOOKUP($AE84,$AE$8:$AQ$78,10,FALSE())</f>
        <v>1</v>
      </c>
      <c r="AP84" s="42" t="n">
        <f aca="false">AN84/AN92*10000+AM84/AM92*1000+AI84/AI92*100+IF(AQ84=0,ROW(),AQ84)/2000000</f>
        <v>3000.00079739</v>
      </c>
      <c r="AQ84" s="46" t="n">
        <f aca="false">VLOOKUP($AE84,$AE$8:$AQ$78,13,FALSE())</f>
        <v>1594.78</v>
      </c>
      <c r="AR84" s="45" t="str">
        <f aca="false">AR83&amp;IF(AD84&lt;=8,RIGHT(AK84,1),"")</f>
        <v>ACD</v>
      </c>
      <c r="AS84" s="114" t="str">
        <f aca="false">IF(AD84&lt;=8,AE84,"")</f>
        <v/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Ⓗ Cape Verde</v>
      </c>
      <c r="K85" s="120" t="n">
        <f aca="false">L85+M85+N85</f>
        <v>2</v>
      </c>
      <c r="L85" s="120" t="n">
        <f aca="false">VLOOKUP(5,$AD$80:$AN$91,3,FALSE())</f>
        <v>0</v>
      </c>
      <c r="M85" s="120" t="n">
        <f aca="false">VLOOKUP(5,$AD$80:$AN$91,4,FALSE())</f>
        <v>2</v>
      </c>
      <c r="N85" s="120" t="n">
        <f aca="false">VLOOKUP(5,$AD$80:$AN$91,5,FALSE())</f>
        <v>0</v>
      </c>
      <c r="O85" s="120" t="str">
        <f aca="false">VLOOKUP(5,$AD$80:$AN$91,6,FALSE()) &amp; " - " &amp; VLOOKUP(5,$AD$80:$AN$91,7,FALSE())</f>
        <v>2 - 2</v>
      </c>
      <c r="P85" s="121" t="n">
        <f aca="false">L85*3+M85</f>
        <v>2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0</v>
      </c>
      <c r="AH85" s="42" t="n">
        <f aca="false">VLOOKUP($AE85,$AE$8:$AQ$78,4,FALSE())</f>
        <v>1</v>
      </c>
      <c r="AI85" s="42" t="n">
        <f aca="false">VLOOKUP($AE85,$AE$8:$AQ$78,5,FALSE())</f>
        <v>6</v>
      </c>
      <c r="AJ85" s="42" t="n">
        <f aca="false">VLOOKUP($AE85,$AE$8:$AQ$78,6,FALSE())</f>
        <v>6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3</v>
      </c>
      <c r="AP85" s="42" t="n">
        <f aca="false">AN85/AN92*10000+AM85/AM92*1000+AI85/AI92*100+IF(AQ85=0,ROW(),AQ85)/2000000</f>
        <v>8335.71504309929</v>
      </c>
      <c r="AQ85" s="46" t="n">
        <f aca="false">VLOOKUP($AE85,$AE$8:$AQ$78,13,FALSE())</f>
        <v>1514.77</v>
      </c>
      <c r="AR85" s="45" t="str">
        <f aca="false">AR84&amp;IF(AD85&lt;=8,RIGHT(AK85,1),"")</f>
        <v>ACDF</v>
      </c>
      <c r="AS85" s="114" t="str">
        <f aca="false">IF(AD85&lt;=8,AE85,"")</f>
        <v>Sweden</v>
      </c>
      <c r="AT85" s="115" t="str">
        <f aca="false">"Ⓕ "&amp;AE85</f>
        <v>Ⓕ Sweden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Ⓖ Belgium</v>
      </c>
      <c r="K86" s="120" t="n">
        <f aca="false">L86+M86+N86</f>
        <v>2</v>
      </c>
      <c r="L86" s="120" t="n">
        <f aca="false">VLOOKUP(6,$AD$80:$AN$91,3,FALSE())</f>
        <v>0</v>
      </c>
      <c r="M86" s="120" t="n">
        <f aca="false">VLOOKUP(6,$AD$80:$AN$91,4,FALSE())</f>
        <v>2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1 - 1</v>
      </c>
      <c r="P86" s="121" t="n">
        <f aca="false">L86*3+M86</f>
        <v>2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6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2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2</v>
      </c>
      <c r="AP86" s="42" t="n">
        <f aca="false">AN86/AN92*10000+AM86/AM92*1000+AI86/AI92*100+IF(AQ86=0,ROW(),AQ86)/2000000</f>
        <v>5764.28658164072</v>
      </c>
      <c r="AQ86" s="46" t="n">
        <f aca="false">VLOOKUP($AE86,$AE$8:$AQ$78,13,FALSE())</f>
        <v>1734.71</v>
      </c>
      <c r="AR86" s="45" t="str">
        <f aca="false">AR85&amp;IF(AD86&lt;=8,RIGHT(AK86,1),"")</f>
        <v>ACDFG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Ⓚ DR Congo</v>
      </c>
      <c r="K87" s="120" t="n">
        <f aca="false">L87+M87+N87</f>
        <v>1</v>
      </c>
      <c r="L87" s="120" t="n">
        <f aca="false">VLOOKUP(7,$AD$80:$AN$91,3,FALSE())</f>
        <v>0</v>
      </c>
      <c r="M87" s="120" t="n">
        <f aca="false">VLOOKUP(7,$AD$80:$AN$91,4,FALSE())</f>
        <v>1</v>
      </c>
      <c r="N87" s="120" t="n">
        <f aca="false">VLOOKUP(7,$AD$80:$AN$91,5,FALSE())</f>
        <v>0</v>
      </c>
      <c r="O87" s="120" t="str">
        <f aca="false">VLOOKUP(7,$AD$80:$AN$91,6,FALSE()) &amp; " - " &amp; VLOOKUP(7,$AD$80:$AN$91,7,FALSE())</f>
        <v>1 - 1</v>
      </c>
      <c r="P87" s="121" t="n">
        <f aca="false">L87*3+M87</f>
        <v>1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5</v>
      </c>
      <c r="AE87" s="44" t="str">
        <f aca="false">J53</f>
        <v>Cape Verde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0</v>
      </c>
      <c r="AI87" s="42" t="n">
        <f aca="false">VLOOKUP($AE87,$AE$8:$AQ$78,5,FALSE())</f>
        <v>2</v>
      </c>
      <c r="AJ87" s="42" t="n">
        <f aca="false">VLOOKUP($AE87,$AE$8:$AQ$78,6,FALSE())</f>
        <v>2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3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5778.57211163643</v>
      </c>
      <c r="AQ87" s="46" t="n">
        <f aca="false">VLOOKUP($AE87,$AE$8:$AQ$78,13,FALSE())</f>
        <v>1366.13</v>
      </c>
      <c r="AR87" s="45" t="str">
        <f aca="false">AR86&amp;IF(AD87&lt;=8,RIGHT(AK87,1),"")</f>
        <v>ACDFGH</v>
      </c>
      <c r="AS87" s="114" t="str">
        <f aca="false">IF(AD87&lt;=8,AE87,"")</f>
        <v>Cape Verde</v>
      </c>
      <c r="AT87" s="115" t="str">
        <f aca="false">"Ⓗ "&amp;AE87</f>
        <v>Ⓗ Cape Verde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Ⓐ Czech Republic</v>
      </c>
      <c r="K88" s="120" t="n">
        <f aca="false">L88+M88+N88</f>
        <v>2</v>
      </c>
      <c r="L88" s="120" t="n">
        <f aca="false">VLOOKUP(8,$AD$80:$AN$91,3,FALSE())</f>
        <v>0</v>
      </c>
      <c r="M88" s="120" t="n">
        <f aca="false">VLOOKUP(8,$AD$80:$AN$91,4,FALSE())</f>
        <v>1</v>
      </c>
      <c r="N88" s="120" t="n">
        <f aca="false">VLOOKUP(8,$AD$80:$AN$91,5,FALSE())</f>
        <v>1</v>
      </c>
      <c r="O88" s="120" t="str">
        <f aca="false">VLOOKUP(8,$AD$80:$AN$91,6,FALSE()) &amp; " - " &amp; VLOOKUP(8,$AD$80:$AN$91,7,FALSE())</f>
        <v>2 - 3</v>
      </c>
      <c r="P88" s="121" t="n">
        <f aca="false">L88*3+M88</f>
        <v>1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12</v>
      </c>
      <c r="AE88" s="44" t="str">
        <f aca="false">J59</f>
        <v>Senegal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3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-3</v>
      </c>
      <c r="AM88" s="42" t="n">
        <f aca="false">AL88-$AL$92</f>
        <v>0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42.8579873521429</v>
      </c>
      <c r="AQ88" s="46" t="n">
        <f aca="false">VLOOKUP($AE88,$AE$8:$AQ$78,13,FALSE())</f>
        <v>1688.99</v>
      </c>
      <c r="AR88" s="45" t="str">
        <f aca="false">AR87&amp;IF(AD88&lt;=8,RIGHT(AK88,1),"")</f>
        <v>ACDFGH</v>
      </c>
      <c r="AS88" s="114" t="str">
        <f aca="false">IF(AD88&lt;=8,AE88,"")</f>
        <v/>
      </c>
      <c r="AT88" s="115" t="str">
        <f aca="false">"Ⓘ "&amp;AE88</f>
        <v>Ⓘ Senegal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Ⓔ Ecuador</v>
      </c>
      <c r="K89" s="124" t="n">
        <f aca="false">L89+M89+N89</f>
        <v>2</v>
      </c>
      <c r="L89" s="124" t="n">
        <f aca="false">VLOOKUP(9,$AD$80:$AN$91,3,FALSE())</f>
        <v>0</v>
      </c>
      <c r="M89" s="124" t="n">
        <f aca="false">VLOOKUP(9,$AD$80:$AN$91,4,FALSE())</f>
        <v>1</v>
      </c>
      <c r="N89" s="124" t="n">
        <f aca="false">VLOOKUP(9,$AD$80:$AN$91,5,FALSE())</f>
        <v>1</v>
      </c>
      <c r="O89" s="124" t="str">
        <f aca="false">VLOOKUP(9,$AD$80:$AN$91,6,FALSE()) &amp; " - " &amp; VLOOKUP(9,$AD$80:$AN$91,7,FALSE())</f>
        <v>0 - 1</v>
      </c>
      <c r="P89" s="125" t="n">
        <f aca="false">L89*3+M89</f>
        <v>1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3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0</v>
      </c>
      <c r="AH89" s="42" t="n">
        <f aca="false">VLOOKUP($AE89,$AE$8:$AQ$78,4,FALSE())</f>
        <v>1</v>
      </c>
      <c r="AI89" s="42" t="n">
        <f aca="false">VLOOKUP($AE89,$AE$8:$AQ$78,5,FALSE())</f>
        <v>2</v>
      </c>
      <c r="AJ89" s="42" t="n">
        <f aca="false">VLOOKUP($AE89,$AE$8:$AQ$78,6,FALSE())</f>
        <v>4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3</v>
      </c>
      <c r="AP89" s="42" t="n">
        <f aca="false">AN89/AN92*10000+AM89/AM92*1000+AI89/AI92*100+IF(AQ89=0,ROW(),AQ89)/2000000</f>
        <v>7778.57221070143</v>
      </c>
      <c r="AQ89" s="46" t="n">
        <f aca="false">VLOOKUP($AE89,$AE$8:$AQ$78,13,FALSE())</f>
        <v>1564.26</v>
      </c>
      <c r="AR89" s="45" t="str">
        <f aca="false">AR88&amp;IF(AD89&lt;=8,RIGHT(AK89,1),"")</f>
        <v>ACDFGHJ</v>
      </c>
      <c r="AS89" s="114" t="str">
        <f aca="false">IF(AD89&lt;=8,AE89,"")</f>
        <v>Algeria</v>
      </c>
      <c r="AT89" s="115" t="str">
        <f aca="false">"Ⓙ "&amp;AE89</f>
        <v>Ⓙ Algeria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Ⓑ Bosnia and Herzegovina</v>
      </c>
      <c r="K90" s="124" t="n">
        <f aca="false">L90+M90+N90</f>
        <v>2</v>
      </c>
      <c r="L90" s="124" t="n">
        <f aca="false">VLOOKUP(10,$AD$80:$AN$91,3,FALSE())</f>
        <v>0</v>
      </c>
      <c r="M90" s="124" t="n">
        <f aca="false">VLOOKUP(10,$AD$80:$AN$91,4,FALSE())</f>
        <v>1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2 - 5</v>
      </c>
      <c r="P90" s="125" t="n">
        <f aca="false">L90*3+M90</f>
        <v>1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7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1</v>
      </c>
      <c r="AH90" s="42" t="n">
        <f aca="false">VLOOKUP($AE90,$AE$8:$AQ$78,4,FALSE())</f>
        <v>0</v>
      </c>
      <c r="AI90" s="42" t="n">
        <f aca="false">VLOOKUP($AE90,$AE$8:$AQ$78,5,FALSE())</f>
        <v>1</v>
      </c>
      <c r="AJ90" s="42" t="n">
        <f aca="false">VLOOKUP($AE90,$AE$8:$AQ$78,6,FALSE())</f>
        <v>1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3</v>
      </c>
      <c r="AN90" s="42" t="n">
        <f aca="false">VLOOKUP($AE90,$AE$8:$AQ$78,10,FALSE())</f>
        <v>1</v>
      </c>
      <c r="AP90" s="42" t="n">
        <f aca="false">AN90/AN92*10000+AM90/AM92*1000+AI90/AI92*100+IF(AQ90=0,ROW(),AQ90)/2000000</f>
        <v>3264.28645346071</v>
      </c>
      <c r="AQ90" s="46" t="n">
        <f aca="false">VLOOKUP($AE90,$AE$8:$AQ$78,13,FALSE())</f>
        <v>1478.35</v>
      </c>
      <c r="AR90" s="45" t="str">
        <f aca="false">AR89&amp;IF(AD90&lt;=8,RIGHT(AK90,1),"")</f>
        <v>ACDFGHJK</v>
      </c>
      <c r="AS90" s="114" t="str">
        <f aca="false">IF(AD90&lt;=8,AE90,"")</f>
        <v>DR Congo</v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Ⓛ Panama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0 - 1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11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1</v>
      </c>
      <c r="AI91" s="42" t="n">
        <f aca="false">VLOOKUP($AE91,$AE$8:$AQ$78,5,FALSE())</f>
        <v>0</v>
      </c>
      <c r="AJ91" s="42" t="n">
        <f aca="false">VLOOKUP($AE91,$AE$8:$AQ$78,6,FALSE())</f>
        <v>1</v>
      </c>
      <c r="AK91" s="42" t="s">
        <v>3192</v>
      </c>
      <c r="AL91" s="42" t="n">
        <f aca="false">VLOOKUP($AE91,$AE$8:$AQ$78,8,FALSE())</f>
        <v>-1</v>
      </c>
      <c r="AM91" s="42" t="n">
        <f aca="false">AL91-$AL$92</f>
        <v>2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500.00077032</v>
      </c>
      <c r="AQ91" s="46" t="n">
        <f aca="false">VLOOKUP($AE91,$AE$8:$AQ$78,13,FALSE())</f>
        <v>1540.64</v>
      </c>
      <c r="AR91" s="45" t="str">
        <f aca="false">AR90&amp;IF(AD91&lt;=8,RIGHT(AK91,1),"")</f>
        <v>ACDFGHJK</v>
      </c>
      <c r="AS91" s="114" t="str">
        <f aca="false">IF(AD91&lt;=8,AE91,"")</f>
        <v/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Ⓘ Senegal</v>
      </c>
      <c r="K92" s="127" t="n">
        <f aca="false">L92+M92+N92</f>
        <v>2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2</v>
      </c>
      <c r="O92" s="127" t="str">
        <f aca="false">VLOOKUP(12,$AD$80:$AN$91,6,FALSE()) &amp; " - " &amp; VLOOKUP(12,$AD$80:$AN$91,7,FALSE())</f>
        <v>3 - 6</v>
      </c>
      <c r="P92" s="128" t="n">
        <f aca="false">L92*3+M92</f>
        <v>0</v>
      </c>
      <c r="AF92" s="42" t="n">
        <f aca="false">MAX(AF80:AF91)+1</f>
        <v>2</v>
      </c>
      <c r="AG92" s="42" t="n">
        <f aca="false">MAX(AG80:AG91)+1</f>
        <v>3</v>
      </c>
      <c r="AH92" s="42" t="n">
        <f aca="false">MAX(AH80:AH91)+1</f>
        <v>3</v>
      </c>
      <c r="AI92" s="42" t="n">
        <f aca="false">MAX(AI80:AI91)+1</f>
        <v>7</v>
      </c>
      <c r="AJ92" s="42" t="n">
        <f aca="false">MAX(AJ80:AJ91)+1</f>
        <v>7</v>
      </c>
      <c r="AL92" s="42" t="n">
        <f aca="false">MIN(AL80:AL91)</f>
        <v>-3</v>
      </c>
      <c r="AM92" s="42" t="n">
        <f aca="false">MAX(AM80:AM91)+1</f>
        <v>4</v>
      </c>
      <c r="AN92" s="42" t="n">
        <f aca="false">MAX(AN80:AN91)+1</f>
        <v>4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247</v>
      </c>
      <c r="C3" s="133" t="str">
        <f aca="false">'2026 World Cup'!AR91</f>
        <v>ACDFGHJK</v>
      </c>
      <c r="D3" s="133" t="str">
        <f aca="false">VLOOKUP($C3,$C$6:$K$500,2,FALSE())</f>
        <v>3H</v>
      </c>
      <c r="E3" s="133" t="str">
        <f aca="false">VLOOKUP($C3,$C$6:$K$500,3,FALSE())</f>
        <v>3G</v>
      </c>
      <c r="F3" s="133" t="str">
        <f aca="false">VLOOKUP($C3,$C$6:$K$500,4,FALSE())</f>
        <v>3J</v>
      </c>
      <c r="G3" s="133" t="str">
        <f aca="false">VLOOKUP($C3,$C$6:$K$500,5,FALSE())</f>
        <v>3C</v>
      </c>
      <c r="H3" s="133" t="str">
        <f aca="false">VLOOKUP($C3,$C$6:$K$500,6,FALSE())</f>
        <v>3A</v>
      </c>
      <c r="I3" s="133" t="str">
        <f aca="false">VLOOKUP($C3,$C$6:$K$500,7,FALSE())</f>
        <v>3F</v>
      </c>
      <c r="J3" s="133" t="str">
        <f aca="false">VLOOKUP($C3,$C$6:$K$500,8,FALSE())</f>
        <v>3D</v>
      </c>
      <c r="K3" s="134" t="str">
        <f aca="false">VLOOKUP($C3,$C$6:$K$500,9,FALSE())</f>
        <v>3K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784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2026-06-23T00:55:24Z</dcterms:modified>
  <cp:revision>34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